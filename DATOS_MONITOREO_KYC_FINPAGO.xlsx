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EEB59DF-B79F-451A-8AE2-890AB8DB1DCE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PARAMETROS" sheetId="1" r:id="rId1"/>
    <sheet name="CLIENTES_KYC" sheetId="2" r:id="rId2"/>
    <sheet name="REPORTES_SISTEMATICOS" sheetId="4" r:id="rId3"/>
    <sheet name="ALERTAS_ACTIVAS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4" l="1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H51" i="2"/>
  <c r="I51" i="2" s="1"/>
  <c r="J51" i="2" s="1"/>
  <c r="K51" i="2" s="1"/>
  <c r="S51" i="2" s="1"/>
  <c r="H50" i="2"/>
  <c r="I50" i="2" s="1"/>
  <c r="J50" i="2" s="1"/>
  <c r="K50" i="2" s="1"/>
  <c r="S50" i="2" s="1"/>
  <c r="H49" i="2"/>
  <c r="I49" i="2" s="1"/>
  <c r="J49" i="2" s="1"/>
  <c r="K49" i="2" s="1"/>
  <c r="S49" i="2" s="1"/>
  <c r="H48" i="2"/>
  <c r="I48" i="2" s="1"/>
  <c r="J48" i="2" s="1"/>
  <c r="K48" i="2" s="1"/>
  <c r="S48" i="2" s="1"/>
  <c r="H47" i="2"/>
  <c r="I47" i="2" s="1"/>
  <c r="J47" i="2" s="1"/>
  <c r="K47" i="2" s="1"/>
  <c r="S47" i="2" s="1"/>
  <c r="H46" i="2"/>
  <c r="I46" i="2" s="1"/>
  <c r="J46" i="2" s="1"/>
  <c r="K46" i="2" s="1"/>
  <c r="S46" i="2" s="1"/>
  <c r="H45" i="2"/>
  <c r="I45" i="2" s="1"/>
  <c r="J45" i="2" s="1"/>
  <c r="K45" i="2" s="1"/>
  <c r="S45" i="2" s="1"/>
  <c r="H44" i="2"/>
  <c r="I44" i="2" s="1"/>
  <c r="J44" i="2" s="1"/>
  <c r="K44" i="2" s="1"/>
  <c r="S44" i="2" s="1"/>
  <c r="H43" i="2"/>
  <c r="I43" i="2" s="1"/>
  <c r="J43" i="2" s="1"/>
  <c r="K43" i="2" s="1"/>
  <c r="S43" i="2" s="1"/>
  <c r="H42" i="2"/>
  <c r="I42" i="2" s="1"/>
  <c r="J42" i="2" s="1"/>
  <c r="K42" i="2" s="1"/>
  <c r="S42" i="2" s="1"/>
  <c r="H41" i="2"/>
  <c r="I41" i="2" s="1"/>
  <c r="J41" i="2" s="1"/>
  <c r="K41" i="2" s="1"/>
  <c r="S41" i="2" s="1"/>
  <c r="H40" i="2"/>
  <c r="I40" i="2" s="1"/>
  <c r="J40" i="2" s="1"/>
  <c r="K40" i="2" s="1"/>
  <c r="S40" i="2" s="1"/>
  <c r="H39" i="2"/>
  <c r="I39" i="2" s="1"/>
  <c r="J39" i="2" s="1"/>
  <c r="K39" i="2" s="1"/>
  <c r="S39" i="2" s="1"/>
  <c r="I38" i="2"/>
  <c r="J38" i="2" s="1"/>
  <c r="K38" i="2" s="1"/>
  <c r="S38" i="2" s="1"/>
  <c r="H38" i="2"/>
  <c r="H37" i="2"/>
  <c r="I37" i="2" s="1"/>
  <c r="J37" i="2" s="1"/>
  <c r="K37" i="2" s="1"/>
  <c r="S37" i="2" s="1"/>
  <c r="H36" i="2"/>
  <c r="I36" i="2" s="1"/>
  <c r="J36" i="2" s="1"/>
  <c r="K36" i="2" s="1"/>
  <c r="S36" i="2" s="1"/>
  <c r="H35" i="2"/>
  <c r="I35" i="2" s="1"/>
  <c r="J35" i="2" s="1"/>
  <c r="K35" i="2" s="1"/>
  <c r="S35" i="2" s="1"/>
  <c r="I34" i="2"/>
  <c r="J34" i="2" s="1"/>
  <c r="K34" i="2" s="1"/>
  <c r="S34" i="2" s="1"/>
  <c r="H34" i="2"/>
  <c r="I33" i="2"/>
  <c r="J33" i="2" s="1"/>
  <c r="K33" i="2" s="1"/>
  <c r="S33" i="2" s="1"/>
  <c r="H33" i="2"/>
  <c r="I32" i="2"/>
  <c r="J32" i="2" s="1"/>
  <c r="K32" i="2" s="1"/>
  <c r="S32" i="2" s="1"/>
  <c r="H32" i="2"/>
  <c r="H31" i="2"/>
  <c r="I31" i="2" s="1"/>
  <c r="J31" i="2" s="1"/>
  <c r="K31" i="2" s="1"/>
  <c r="S31" i="2" s="1"/>
  <c r="H30" i="2"/>
  <c r="I30" i="2" s="1"/>
  <c r="J30" i="2" s="1"/>
  <c r="K30" i="2" s="1"/>
  <c r="S30" i="2" s="1"/>
  <c r="H29" i="2"/>
  <c r="I29" i="2" s="1"/>
  <c r="J29" i="2" s="1"/>
  <c r="K29" i="2" s="1"/>
  <c r="S29" i="2" s="1"/>
  <c r="H28" i="2"/>
  <c r="I28" i="2" s="1"/>
  <c r="J28" i="2" s="1"/>
  <c r="K28" i="2" s="1"/>
  <c r="S28" i="2" s="1"/>
  <c r="H27" i="2"/>
  <c r="I27" i="2" s="1"/>
  <c r="J27" i="2" s="1"/>
  <c r="K27" i="2" s="1"/>
  <c r="S27" i="2" s="1"/>
  <c r="H26" i="2"/>
  <c r="I26" i="2" s="1"/>
  <c r="J26" i="2" s="1"/>
  <c r="K26" i="2" s="1"/>
  <c r="S26" i="2" s="1"/>
  <c r="H25" i="2"/>
  <c r="I25" i="2" s="1"/>
  <c r="J25" i="2" s="1"/>
  <c r="K25" i="2" s="1"/>
  <c r="S25" i="2" s="1"/>
  <c r="I24" i="2"/>
  <c r="J24" i="2" s="1"/>
  <c r="K24" i="2" s="1"/>
  <c r="S24" i="2" s="1"/>
  <c r="H24" i="2"/>
  <c r="H23" i="2"/>
  <c r="I23" i="2" s="1"/>
  <c r="J23" i="2" s="1"/>
  <c r="K23" i="2" s="1"/>
  <c r="S23" i="2" s="1"/>
  <c r="I22" i="2"/>
  <c r="J22" i="2" s="1"/>
  <c r="K22" i="2" s="1"/>
  <c r="S22" i="2" s="1"/>
  <c r="H22" i="2"/>
  <c r="H21" i="2"/>
  <c r="I21" i="2" s="1"/>
  <c r="J21" i="2" s="1"/>
  <c r="K21" i="2" s="1"/>
  <c r="S21" i="2" s="1"/>
  <c r="H20" i="2"/>
  <c r="I20" i="2" s="1"/>
  <c r="J20" i="2" s="1"/>
  <c r="K20" i="2" s="1"/>
  <c r="S20" i="2" s="1"/>
  <c r="H19" i="2"/>
  <c r="I19" i="2" s="1"/>
  <c r="J19" i="2" s="1"/>
  <c r="K19" i="2" s="1"/>
  <c r="S19" i="2" s="1"/>
  <c r="I18" i="2"/>
  <c r="J18" i="2" s="1"/>
  <c r="K18" i="2" s="1"/>
  <c r="S18" i="2" s="1"/>
  <c r="H18" i="2"/>
  <c r="I17" i="2"/>
  <c r="J17" i="2" s="1"/>
  <c r="K17" i="2" s="1"/>
  <c r="S17" i="2" s="1"/>
  <c r="H17" i="2"/>
  <c r="H16" i="2"/>
  <c r="I16" i="2" s="1"/>
  <c r="J16" i="2" s="1"/>
  <c r="K16" i="2" s="1"/>
  <c r="S16" i="2" s="1"/>
  <c r="H15" i="2"/>
  <c r="I15" i="2" s="1"/>
  <c r="J15" i="2" s="1"/>
  <c r="K15" i="2" s="1"/>
  <c r="S15" i="2" s="1"/>
  <c r="H14" i="2"/>
  <c r="I14" i="2" s="1"/>
  <c r="J14" i="2" s="1"/>
  <c r="K14" i="2" s="1"/>
  <c r="S14" i="2" s="1"/>
  <c r="H13" i="2"/>
  <c r="I13" i="2" s="1"/>
  <c r="J13" i="2" s="1"/>
  <c r="K13" i="2" s="1"/>
  <c r="S13" i="2" s="1"/>
  <c r="H12" i="2"/>
  <c r="I12" i="2" s="1"/>
  <c r="J12" i="2" s="1"/>
  <c r="K12" i="2" s="1"/>
  <c r="S12" i="2" s="1"/>
  <c r="H11" i="2"/>
  <c r="I11" i="2" s="1"/>
  <c r="J11" i="2" s="1"/>
  <c r="K11" i="2" s="1"/>
  <c r="S11" i="2" s="1"/>
  <c r="H10" i="2"/>
  <c r="I10" i="2" s="1"/>
  <c r="J10" i="2" s="1"/>
  <c r="K10" i="2" s="1"/>
  <c r="S10" i="2" s="1"/>
  <c r="H9" i="2"/>
  <c r="I9" i="2" s="1"/>
  <c r="J9" i="2" s="1"/>
  <c r="K9" i="2" s="1"/>
  <c r="S9" i="2" s="1"/>
  <c r="H8" i="2"/>
  <c r="I8" i="2" s="1"/>
  <c r="J8" i="2" s="1"/>
  <c r="K8" i="2" s="1"/>
  <c r="S8" i="2" s="1"/>
  <c r="H7" i="2"/>
  <c r="I7" i="2" s="1"/>
  <c r="J7" i="2" s="1"/>
  <c r="K7" i="2" s="1"/>
  <c r="S7" i="2" s="1"/>
  <c r="H6" i="2"/>
  <c r="I6" i="2" s="1"/>
  <c r="J6" i="2" s="1"/>
  <c r="K6" i="2" s="1"/>
  <c r="S6" i="2" s="1"/>
  <c r="H5" i="2"/>
  <c r="I5" i="2" s="1"/>
  <c r="J5" i="2" s="1"/>
  <c r="K5" i="2" s="1"/>
  <c r="S5" i="2" s="1"/>
  <c r="H4" i="2"/>
  <c r="I4" i="2" s="1"/>
  <c r="J4" i="2" s="1"/>
  <c r="K4" i="2" s="1"/>
  <c r="S4" i="2" s="1"/>
  <c r="H3" i="2"/>
  <c r="I3" i="2" s="1"/>
  <c r="J3" i="2" s="1"/>
  <c r="K3" i="2" s="1"/>
  <c r="S3" i="2" s="1"/>
  <c r="H2" i="2"/>
  <c r="I2" i="2" s="1"/>
  <c r="J2" i="2" s="1"/>
  <c r="K2" i="2" s="1"/>
  <c r="S2" i="2" s="1"/>
</calcChain>
</file>

<file path=xl/sharedStrings.xml><?xml version="1.0" encoding="utf-8"?>
<sst xmlns="http://schemas.openxmlformats.org/spreadsheetml/2006/main" count="736" uniqueCount="210">
  <si>
    <t>PARÁMETROS DEL SISTEMA — FinPago S.A.S. (PSPCP)</t>
  </si>
  <si>
    <t>Normativa base: Res. UIF N° 200/2024 | Res. UIF N° 3/2026 | BCRA Com. A 7462/2022  ·  Datos ficticios — Fines educativos</t>
  </si>
  <si>
    <t>TABLA 1 — Política de actualización del legajo KYC por nivel de riesgo</t>
  </si>
  <si>
    <t>NIVEL_RIESGO</t>
  </si>
  <si>
    <t>FRECUENCIA</t>
  </si>
  <si>
    <t>DÍAS_ENTRE_ACTUALIZACIONES</t>
  </si>
  <si>
    <t>ALTO</t>
  </si>
  <si>
    <t>Anual</t>
  </si>
  <si>
    <t>MEDIO</t>
  </si>
  <si>
    <t>Bianual</t>
  </si>
  <si>
    <t>BAJO</t>
  </si>
  <si>
    <t>Trianual</t>
  </si>
  <si>
    <t>NOTA: La Res. UIF N° 200/2024 establece la obligación de Debida Diligencia Continuada y actualización del legajo según el nivel de riesgo asignado, sin fijar frecuencias universales. Las frecuencias de esta tabla son decisión de política interna del Sujeto Obligado ficticio FinPago S.A.S. y no representan un requisito normativo.</t>
  </si>
  <si>
    <t>TABLA 2 — Umbral de alerta de vencimiento de legajo KYC</t>
  </si>
  <si>
    <t>ESTADO</t>
  </si>
  <si>
    <t>CONDICIÓN</t>
  </si>
  <si>
    <t>SEMÁFORO</t>
  </si>
  <si>
    <t>VENCIDO</t>
  </si>
  <si>
    <t>Días hasta vencimiento &lt; 0</t>
  </si>
  <si>
    <t>Rojo</t>
  </si>
  <si>
    <t>CRÍTICO</t>
  </si>
  <si>
    <t>0 ≤ Días hasta vencimiento &lt; 30</t>
  </si>
  <si>
    <t>PRÓXIMO</t>
  </si>
  <si>
    <t>30 ≤ Días hasta vencimiento &lt; 180</t>
  </si>
  <si>
    <t>Amarillo</t>
  </si>
  <si>
    <t>AL DÍA</t>
  </si>
  <si>
    <t>Días hasta vencimiento ≥ 180</t>
  </si>
  <si>
    <t>Verde</t>
  </si>
  <si>
    <t>TABLA 3 — Plazos de reportes sistemáticos obligatorios (Res. UIF N° 200/2024)</t>
  </si>
  <si>
    <t>TIPO_REPORTE</t>
  </si>
  <si>
    <t>APLICA A FINPAGO</t>
  </si>
  <si>
    <t>PERIODICIDAD</t>
  </si>
  <si>
    <t>PLAZO</t>
  </si>
  <si>
    <t>RSA — Reporte Sistemático Anual</t>
  </si>
  <si>
    <t>Sí</t>
  </si>
  <si>
    <t>2 de enero al 15 de marzo de cada año</t>
  </si>
  <si>
    <t>RTE — Reporte de Transacciones con Efectivo</t>
  </si>
  <si>
    <t>Mensual</t>
  </si>
  <si>
    <t>Día 15 del mes siguiente al reportado</t>
  </si>
  <si>
    <t>RMTC — Reporte mensual Tarjetas de Crédito</t>
  </si>
  <si>
    <t>No aplica</t>
  </si>
  <si>
    <t>—</t>
  </si>
  <si>
    <t>ID_CLIENTE</t>
  </si>
  <si>
    <t>TIPO_PERSONA</t>
  </si>
  <si>
    <t>SECTOR_ACTIVIDAD</t>
  </si>
  <si>
    <t>NIVEL_RIESGO_FINAL</t>
  </si>
  <si>
    <t>DILIGENCIA_APLICABLE</t>
  </si>
  <si>
    <t>FECHA_ALTA_CLIENTE</t>
  </si>
  <si>
    <t>FECHA_ULTIMO_KYC</t>
  </si>
  <si>
    <t>DIAS_ENTRE_ACTUALIZACIONES</t>
  </si>
  <si>
    <t>FECHA_PROX_VENCIMIENTO</t>
  </si>
  <si>
    <t>DIAS_HASTA_VENCIMIENTO</t>
  </si>
  <si>
    <t>ESTADO_VENCIMIENTO</t>
  </si>
  <si>
    <t>COLOR_SEMAFORO</t>
  </si>
  <si>
    <t>DOCUMENTOS_PENDIENTES</t>
  </si>
  <si>
    <t>PERFIL_TRANSACCIONAL_ACTIVO</t>
  </si>
  <si>
    <t>COTEJO_LISTAS_ULTIMO</t>
  </si>
  <si>
    <t>COTEJO_LISTAS_RESULTADO</t>
  </si>
  <si>
    <t>ALERTA_ACTIVA</t>
  </si>
  <si>
    <t>TIPO_ALERTA_ACTIVA</t>
  </si>
  <si>
    <t>PRIORIDAD_REVISION</t>
  </si>
  <si>
    <t>ANALISTA_RESPONSABLE</t>
  </si>
  <si>
    <t>OBSERVACIONES</t>
  </si>
  <si>
    <t>CLI-P1-001</t>
  </si>
  <si>
    <t>Jurídica</t>
  </si>
  <si>
    <t>Importación/Exportación</t>
  </si>
  <si>
    <t>Reforzada</t>
  </si>
  <si>
    <t>●</t>
  </si>
  <si>
    <t>Ninguno</t>
  </si>
  <si>
    <t>Sin coincidencia</t>
  </si>
  <si>
    <t>Volumen inusual de transacciones</t>
  </si>
  <si>
    <t>Martín Aguirre</t>
  </si>
  <si>
    <t>Monitoreo activo. Patrón transaccional elevado en dic-2025 bajo análisis.</t>
  </si>
  <si>
    <t>CLI-P1-002</t>
  </si>
  <si>
    <t>Construcción</t>
  </si>
  <si>
    <t>No</t>
  </si>
  <si>
    <t>Lucía Morales</t>
  </si>
  <si>
    <t>CLI-P1-003</t>
  </si>
  <si>
    <t>Física</t>
  </si>
  <si>
    <t>Tecnología</t>
  </si>
  <si>
    <t>Declaración de ingresos</t>
  </si>
  <si>
    <t>Inconsistencia con perfil transaccional</t>
  </si>
  <si>
    <t>Diego Pérez</t>
  </si>
  <si>
    <t>Documentación pendiente. Notificar al cliente 30 días antes del vencimiento.</t>
  </si>
  <si>
    <t>CLI-P1-004</t>
  </si>
  <si>
    <t>Servicios profesionales</t>
  </si>
  <si>
    <t>CLI-P1-005</t>
  </si>
  <si>
    <t>Origen de fondos</t>
  </si>
  <si>
    <t>En revisión</t>
  </si>
  <si>
    <t>Coincidencia parcial</t>
  </si>
  <si>
    <t>Cotejo FPADM con resultado pendiente</t>
  </si>
  <si>
    <t>Ana González</t>
  </si>
  <si>
    <t>URGENTE: Vencimiento inminente. Coincidencia parcial FPADM sin resolver. Escalar a Oficial de Cumplimiento.</t>
  </si>
  <si>
    <t>CLI-P1-006</t>
  </si>
  <si>
    <t>DNI actualizado</t>
  </si>
  <si>
    <t>Legajo KYC próximo a vencer</t>
  </si>
  <si>
    <t>URGENTE: DNI desactualizado. Contactar cliente para renovación presencial.</t>
  </si>
  <si>
    <t>CLI-P1-007</t>
  </si>
  <si>
    <t>Transporte</t>
  </si>
  <si>
    <t>Origen de fondos no justificado</t>
  </si>
  <si>
    <t>URGENTE: Investigación origen de fondos en curso. Solicitar documentación adicional.</t>
  </si>
  <si>
    <t>CLI-P1-008</t>
  </si>
  <si>
    <t>Fraccionamiento sospechoso</t>
  </si>
  <si>
    <t>URGENTE: Análisis de fraccionamiento en curso. Documentación incompleta.</t>
  </si>
  <si>
    <t>CLI-P1-009</t>
  </si>
  <si>
    <t>Legajo KYC vencido</t>
  </si>
  <si>
    <t>URGENTE: Legajo VENCIDO. Coincidencia parcial FPADM activa. Suspensión de operaciones evaluada por Oficial.</t>
  </si>
  <si>
    <t>CLI-P1-010</t>
  </si>
  <si>
    <t>Agropecuario</t>
  </si>
  <si>
    <t>Estatuto actualizado</t>
  </si>
  <si>
    <t>URGENTE: Legajo VENCIDO. Estatuto social vencido. Operaciones suspendidas hasta renovación.</t>
  </si>
  <si>
    <t>CLI-P1-011</t>
  </si>
  <si>
    <t>Comercio electrónico</t>
  </si>
  <si>
    <t>Estándar</t>
  </si>
  <si>
    <t>CLI-P1-012</t>
  </si>
  <si>
    <t>Gastronomía</t>
  </si>
  <si>
    <t>CLI-P1-013</t>
  </si>
  <si>
    <t>Salud</t>
  </si>
  <si>
    <t>CLI-P1-014</t>
  </si>
  <si>
    <t>Educación</t>
  </si>
  <si>
    <t>CLI-P1-015</t>
  </si>
  <si>
    <t>CLI-P1-016</t>
  </si>
  <si>
    <t>CLI-P1-017</t>
  </si>
  <si>
    <t>CLI-P1-018</t>
  </si>
  <si>
    <t>CLI-P1-019</t>
  </si>
  <si>
    <t>CLI-P1-020</t>
  </si>
  <si>
    <t>CLI-P1-021</t>
  </si>
  <si>
    <t>CLI-P1-022</t>
  </si>
  <si>
    <t>CLI-P1-023</t>
  </si>
  <si>
    <t>Vencimiento próximo. Declaración de ingresos pendiente de renovación.</t>
  </si>
  <si>
    <t>CLI-P1-024</t>
  </si>
  <si>
    <t>Programar notificación de renovación KYC.</t>
  </si>
  <si>
    <t>CLI-P1-025</t>
  </si>
  <si>
    <t>CLI-P1-026</t>
  </si>
  <si>
    <t>CLI-P1-027</t>
  </si>
  <si>
    <t>CLI-P1-028</t>
  </si>
  <si>
    <t>CLI-P1-029</t>
  </si>
  <si>
    <t>ALTA PRIORIDAD: Vencimiento inminente. Origen de fondos pendiente. Iniciar renovación.</t>
  </si>
  <si>
    <t>CLI-P1-030</t>
  </si>
  <si>
    <t>ALTA PRIORIDAD: Legajo VENCIDO. Estatuto vencido. Iniciar renovación de inmediato.</t>
  </si>
  <si>
    <t>CLI-P1-031</t>
  </si>
  <si>
    <t>Simplificada</t>
  </si>
  <si>
    <t>CLI-P1-032</t>
  </si>
  <si>
    <t>CLI-P1-033</t>
  </si>
  <si>
    <t>CLI-P1-034</t>
  </si>
  <si>
    <t>CLI-P1-035</t>
  </si>
  <si>
    <t>CLI-P1-036</t>
  </si>
  <si>
    <t>CLI-P1-037</t>
  </si>
  <si>
    <t>CLI-P1-038</t>
  </si>
  <si>
    <t>CLI-P1-039</t>
  </si>
  <si>
    <t>CLI-P1-040</t>
  </si>
  <si>
    <t>CLI-P1-041</t>
  </si>
  <si>
    <t>CLI-P1-042</t>
  </si>
  <si>
    <t>CLI-P1-043</t>
  </si>
  <si>
    <t>CLI-P1-044</t>
  </si>
  <si>
    <t>CLI-P1-045</t>
  </si>
  <si>
    <t>Vencimiento próximo. Programar actualización KYC simplificada.</t>
  </si>
  <si>
    <t>CLI-P1-046</t>
  </si>
  <si>
    <t>CLI-P1-047</t>
  </si>
  <si>
    <t>CLI-P1-048</t>
  </si>
  <si>
    <t>CLI-P1-049</t>
  </si>
  <si>
    <t>ALTA PRIORIDAD: Vencimiento inminente. Actualizar documentación de origen de fondos.</t>
  </si>
  <si>
    <t>CLI-P1-050</t>
  </si>
  <si>
    <t>ALTA PRIORIDAD: Legajo VENCIDO. Coincidencia parcial FPADM sin resolver. Renovación urgente.</t>
  </si>
  <si>
    <t>ID_CASO</t>
  </si>
  <si>
    <t>TIPO_ALERTA</t>
  </si>
  <si>
    <t>FECHA_ALERTA</t>
  </si>
  <si>
    <t>DÍAS_ABIERTO</t>
  </si>
  <si>
    <t>CAS-P5-001</t>
  </si>
  <si>
    <t>Abierto</t>
  </si>
  <si>
    <t>CAS-P5-002</t>
  </si>
  <si>
    <t>CAS-P5-003</t>
  </si>
  <si>
    <t>Cotejo FPADM — resultado pendiente de verificación</t>
  </si>
  <si>
    <t>CAS-P5-004</t>
  </si>
  <si>
    <t>Legajo KYC próximo a vencer (cliente ALTO riesgo)</t>
  </si>
  <si>
    <t>CAS-P5-005</t>
  </si>
  <si>
    <t>CAS-P5-006</t>
  </si>
  <si>
    <t>Fraccionamiento sospechoso de operaciones</t>
  </si>
  <si>
    <t>CAS-P5-007</t>
  </si>
  <si>
    <t>Legajo KYC vencido — cliente ALTO riesgo</t>
  </si>
  <si>
    <t>CAS-P5-008</t>
  </si>
  <si>
    <t>Coincidencia parcial en lista FPADM — en verificación</t>
  </si>
  <si>
    <t>CAS-P5-009</t>
  </si>
  <si>
    <t>Legajo KYC vencido — operaciones suspendidas</t>
  </si>
  <si>
    <t>CAS-P5-010</t>
  </si>
  <si>
    <t>Inconsistencia perfil transaccional (variación &gt;30%)</t>
  </si>
  <si>
    <t>CAS-P5-011</t>
  </si>
  <si>
    <t>Origen de fondos no justificado — documentación incompleta</t>
  </si>
  <si>
    <t>CAS-P5-012</t>
  </si>
  <si>
    <t>Legajo KYC vencido — cliente MEDIO riesgo</t>
  </si>
  <si>
    <t>CAS-P5-013</t>
  </si>
  <si>
    <t>Legajo KYC próximo a vencer — cliente BAJO riesgo</t>
  </si>
  <si>
    <t>CAS-P5-014</t>
  </si>
  <si>
    <t>Legajo KYC vencido — cliente BAJO riesgo</t>
  </si>
  <si>
    <t>CAS-P5-015</t>
  </si>
  <si>
    <t>Coincidencia parcial en lista FPADM — pendiente de resolución</t>
  </si>
  <si>
    <t>PERÍODO_REPORTADO</t>
  </si>
  <si>
    <t>FECHA_LIMITE</t>
  </si>
  <si>
    <t>FECHA_PRESENTACION</t>
  </si>
  <si>
    <t>DÍAS_DESVÍO</t>
  </si>
  <si>
    <t>Año 2025</t>
  </si>
  <si>
    <t>Presentado</t>
  </si>
  <si>
    <t>Presentado dentro del plazo. 5 días de anticipación.</t>
  </si>
  <si>
    <t>Enero 2026</t>
  </si>
  <si>
    <t>Presentado dentro del plazo.</t>
  </si>
  <si>
    <t>Febrero 2026</t>
  </si>
  <si>
    <t>Marzo 2026</t>
  </si>
  <si>
    <t>Pendiente</t>
  </si>
  <si>
    <t>Plazo vigente. Período en curso. Vencimiento: 15/04/2026.</t>
  </si>
  <si>
    <t>REFERENCIA NORMATIVA (Res. UIF N° 200/2024): RSA — Reporte Sistemático Anual: presentación anual entre el 2 de enero y el 15 de marzo de cada año calendario. RTE — Reporte de Transacciones con Efectivo: presentación mensual hasta el día 15 del mes siguiente al período reportado. RMTC — Reporte mensual Tarjetas de Crédito: no aplica a PSPCPs. Primer RSA de FinPago S.A.S.: entre el 2 de enero y el 15 de marzo de 2026. DATOS FICTICIOS — Proyecto de portfolio educativo. No representan información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</si>
</sst>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FFFFFF"/>
      <name val="Arial"/>
      <charset val="1"/>
    </font>
    <font>
      <b/>
      <sz val="10"/>
      <color rgb="FF1F4E79"/>
      <name val="Arial"/>
      <charset val="1"/>
    </font>
    <font>
      <b/>
      <sz val="9"/>
      <color rgb="FFFFFFFF"/>
      <name val="Arial"/>
      <charset val="1"/>
    </font>
    <font>
      <b/>
      <sz val="9"/>
      <color rgb="FFC00000"/>
      <name val="Arial"/>
      <charset val="1"/>
    </font>
    <font>
      <sz val="9"/>
      <color rgb="FF000000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i/>
      <sz val="8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595959"/>
      <name val="Arial"/>
      <charset val="1"/>
    </font>
    <font>
      <b/>
      <sz val="8"/>
      <color rgb="FFFFFFFF"/>
      <name val="Arial"/>
      <charset val="1"/>
    </font>
    <font>
      <sz val="12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FE0E0"/>
      </patternFill>
    </fill>
    <fill>
      <patternFill patternType="solid">
        <fgColor rgb="FFE2EFDA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FFB3B3"/>
        <bgColor rgb="FFFF99CC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8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1" fontId="6" fillId="5" borderId="8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0" fillId="9" borderId="9" xfId="0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75623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75623"/>
        <name val="Arial"/>
        <charset val="1"/>
        <scheme val="none"/>
      </font>
      <fill>
        <patternFill patternType="solid">
          <fgColor rgb="FFF7F7F7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75623"/>
        <name val="Arial"/>
        <charset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75623"/>
        <name val="Arial"/>
        <charset val="1"/>
        <scheme val="none"/>
      </font>
      <fill>
        <patternFill patternType="solid">
          <fgColor rgb="FFF7F7F7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sz val="9"/>
        <color rgb="FFC00000"/>
        <name val="Arial"/>
        <charset val="1"/>
      </font>
      <fill>
        <patternFill>
          <bgColor rgb="FFFFB3B3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FE0E0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FE0E0"/>
        </patternFill>
      </fill>
    </dxf>
    <dxf>
      <font>
        <b/>
        <sz val="9"/>
        <color rgb="FFFFFFFF"/>
        <name val="Arial"/>
        <charset val="1"/>
      </font>
      <fill>
        <patternFill>
          <bgColor rgb="FFC00000"/>
        </patternFill>
      </fill>
    </dxf>
    <dxf>
      <font>
        <b/>
        <sz val="12"/>
        <color rgb="FF375623"/>
        <name val="Arial"/>
        <charset val="1"/>
      </font>
      <fill>
        <patternFill>
          <bgColor rgb="FFE2EFDA"/>
        </patternFill>
      </fill>
    </dxf>
    <dxf>
      <font>
        <b/>
        <sz val="12"/>
        <color rgb="FFFF8C00"/>
        <name val="Arial"/>
        <charset val="1"/>
      </font>
      <fill>
        <patternFill>
          <bgColor rgb="FFFFF2CC"/>
        </patternFill>
      </fill>
    </dxf>
    <dxf>
      <font>
        <b/>
        <sz val="12"/>
        <color rgb="FFC00000"/>
        <name val="Arial"/>
        <charset val="1"/>
      </font>
      <fill>
        <patternFill>
          <bgColor rgb="FFFFE0E0"/>
        </patternFill>
      </fill>
    </dxf>
    <dxf>
      <font>
        <b/>
        <sz val="12"/>
        <color rgb="FFC00000"/>
        <name val="Arial"/>
        <charset val="1"/>
      </font>
      <fill>
        <patternFill>
          <bgColor rgb="FFFFB3B3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  <dxf>
      <font>
        <b/>
        <sz val="9"/>
        <color rgb="FFC00000"/>
        <name val="Arial"/>
        <charset val="1"/>
      </font>
      <fill>
        <patternFill>
          <bgColor rgb="FFFFE0E0"/>
        </patternFill>
      </fill>
    </dxf>
    <dxf>
      <font>
        <b/>
        <sz val="9"/>
        <color rgb="FFC00000"/>
        <name val="Arial"/>
        <charset val="1"/>
      </font>
      <fill>
        <patternFill>
          <bgColor rgb="FFFFB3B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7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FB3B3"/>
      <rgbColor rgb="FF2E75B6"/>
      <rgbColor rgb="FF33CCCC"/>
      <rgbColor rgb="FF99CC00"/>
      <rgbColor rgb="FFFFCC00"/>
      <rgbColor rgb="FFFF8C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0B51B6-C8C4-49F8-9BD7-719EB1906F07}" name="CLIENTES_KYC" displayName="CLIENTES_KYC" ref="A1:U51" totalsRowShown="0" headerRowDxfId="0" headerRowBorderDxfId="23" tableBorderDxfId="24" totalsRowBorderDxfId="22">
  <autoFilter ref="A1:U51" xr:uid="{270B51B6-C8C4-49F8-9BD7-719EB1906F07}"/>
  <tableColumns count="21">
    <tableColumn id="1" xr3:uid="{D1D5BC47-19B4-4A52-B042-E517039DF99E}" name="ID_CLIENTE" dataDxfId="21"/>
    <tableColumn id="2" xr3:uid="{09986BCD-A795-464B-B6BA-D6CEE823C919}" name="TIPO_PERSONA" dataDxfId="20"/>
    <tableColumn id="3" xr3:uid="{EDDA99C1-5E33-485F-B27B-3084C732E250}" name="SECTOR_ACTIVIDAD" dataDxfId="19"/>
    <tableColumn id="4" xr3:uid="{DACA88C6-4C72-4CA0-AECC-494F0B4526F8}" name="NIVEL_RIESGO_FINAL" dataDxfId="18"/>
    <tableColumn id="5" xr3:uid="{A6431F34-5345-4D4F-B772-6A0F7C48CB51}" name="DILIGENCIA_APLICABLE" dataDxfId="17"/>
    <tableColumn id="6" xr3:uid="{6E20FDC2-9136-484B-98E4-CE5E386A01CD}" name="FECHA_ALTA_CLIENTE" dataDxfId="16"/>
    <tableColumn id="7" xr3:uid="{1D17901E-36BF-48D7-8DD3-A8CF8529AFE8}" name="FECHA_ULTIMO_KYC" dataDxfId="15"/>
    <tableColumn id="8" xr3:uid="{A2FA1116-5137-4D28-BC94-AC886B1D53AF}" name="DIAS_ENTRE_ACTUALIZACIONES" dataDxfId="14">
      <calculatedColumnFormula>VLOOKUP(D2,PARAMETROS!$A$6:$C$8,3,FALSE())</calculatedColumnFormula>
    </tableColumn>
    <tableColumn id="9" xr3:uid="{AABD94B3-67DA-46DD-B03A-24FC0018EE05}" name="FECHA_PROX_VENCIMIENTO" dataDxfId="13">
      <calculatedColumnFormula>G2+H2</calculatedColumnFormula>
    </tableColumn>
    <tableColumn id="10" xr3:uid="{DAEDF565-8651-4778-8AC9-6C82A140A47C}" name="DIAS_HASTA_VENCIMIENTO" dataDxfId="12">
      <calculatedColumnFormula>I2-TODAY()</calculatedColumnFormula>
    </tableColumn>
    <tableColumn id="11" xr3:uid="{8EF7DD43-13AD-494C-839F-0E31378D1CCB}" name="ESTADO_VENCIMIENTO" dataDxfId="11">
      <calculatedColumnFormula>IF(J2&lt;0,"VENCIDO",IF(J2&lt;30,"CRÍTICO",IF(J2&lt;180,"PRÓXIMO","AL DÍA")))</calculatedColumnFormula>
    </tableColumn>
    <tableColumn id="12" xr3:uid="{76C782C7-40D6-439B-A036-FC4686A811F3}" name="COLOR_SEMAFORO" dataDxfId="10"/>
    <tableColumn id="13" xr3:uid="{C38A821A-647C-475D-91CC-31FA0C24FBCA}" name="DOCUMENTOS_PENDIENTES" dataDxfId="9"/>
    <tableColumn id="14" xr3:uid="{E3FD83FA-8A49-47E6-8396-7B51911FB002}" name="PERFIL_TRANSACCIONAL_ACTIVO" dataDxfId="8"/>
    <tableColumn id="15" xr3:uid="{A64A2D55-CC5F-411E-9E0A-96241AA8A155}" name="COTEJO_LISTAS_ULTIMO" dataDxfId="7"/>
    <tableColumn id="16" xr3:uid="{60B42BC5-674A-4675-A726-00A08C5150E7}" name="COTEJO_LISTAS_RESULTADO" dataDxfId="6"/>
    <tableColumn id="17" xr3:uid="{AA2A458C-7B10-408E-A1A3-99C016AA373B}" name="ALERTA_ACTIVA" dataDxfId="5"/>
    <tableColumn id="18" xr3:uid="{646997E1-3799-4546-B409-14C32265D62B}" name="TIPO_ALERTA_ACTIVA" dataDxfId="4"/>
    <tableColumn id="19" xr3:uid="{99F7E6F3-60DE-47E1-97AB-5BB881F1F571}" name="PRIORIDAD_REVISION" dataDxfId="3">
      <calculatedColumnFormula>IF(AND(D2="ALTO",OR(K2="VENCIDO",K2="CRÍTICO")),"URGENTE",IF(D2="ALTO","ALTA",IF(OR(K2="VENCIDO",K2="CRÍTICO"),"ALTA","NORMAL")))</calculatedColumnFormula>
    </tableColumn>
    <tableColumn id="20" xr3:uid="{D8694096-EDC5-4296-9747-A9203B95FFF6}" name="ANALISTA_RESPONSABLE" dataDxfId="2"/>
    <tableColumn id="21" xr3:uid="{AE941596-2CAF-4FE4-962D-5C6B25197EC5}" name="OBSERVACION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D001B-B6BF-4009-B721-059E42C82A55}" name="REPORTES_SISTEMATICOS" displayName="REPORTES_SISTEMATICOS" ref="A1:G5" totalsRowShown="0" headerRowDxfId="35" headerRowBorderDxfId="44" tableBorderDxfId="45" totalsRowBorderDxfId="43">
  <autoFilter ref="A1:G5" xr:uid="{79DD001B-B6BF-4009-B721-059E42C82A55}"/>
  <tableColumns count="7">
    <tableColumn id="1" xr3:uid="{C14ADE99-201B-4765-8A47-65A35DB0DC46}" name="TIPO_REPORTE" dataDxfId="42"/>
    <tableColumn id="2" xr3:uid="{96D94662-FE7E-4261-B72B-BB965E6095BB}" name="PERÍODO_REPORTADO" dataDxfId="41"/>
    <tableColumn id="3" xr3:uid="{6928D08C-286F-48BE-80C5-4BF8E4508CDC}" name="FECHA_LIMITE" dataDxfId="40"/>
    <tableColumn id="4" xr3:uid="{3C89BFA5-398C-4DCE-92B3-72127D0A3B05}" name="FECHA_PRESENTACION" dataDxfId="39"/>
    <tableColumn id="5" xr3:uid="{359EA9A1-8D1F-4A04-AE4D-6453CC289BB5}" name="ESTADO" dataDxfId="38"/>
    <tableColumn id="6" xr3:uid="{E8030CEE-A0EB-45A7-BBC7-7EE15B208055}" name="DÍAS_DESVÍO" dataDxfId="37"/>
    <tableColumn id="7" xr3:uid="{B162A58F-1479-4954-A9C3-4A04FDC05DAA}" name="OBSERVACIONES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B0F1C-D284-4750-8572-82F688386D74}" name="ALERTAS_ACTIVAS" displayName="ALERTAS_ACTIVAS" ref="A1:F16" totalsRowShown="0" headerRowDxfId="25" headerRowBorderDxfId="33" tableBorderDxfId="34" totalsRowBorderDxfId="32">
  <autoFilter ref="A1:F16" xr:uid="{353B0F1C-D284-4750-8572-82F688386D74}"/>
  <tableColumns count="6">
    <tableColumn id="1" xr3:uid="{04C83751-EEC5-439F-8E32-849AAED14A9A}" name="ID_CASO" dataDxfId="31"/>
    <tableColumn id="2" xr3:uid="{2855BF1E-7B65-4CB0-A422-31D1791D31B5}" name="ID_CLIENTE" dataDxfId="30"/>
    <tableColumn id="3" xr3:uid="{A7CECA35-3461-440B-A500-65A23CB22EE1}" name="TIPO_ALERTA" dataDxfId="29"/>
    <tableColumn id="4" xr3:uid="{24D42154-5144-4D01-9EC7-CF4696883757}" name="FECHA_ALERTA" dataDxfId="28"/>
    <tableColumn id="5" xr3:uid="{A1716EA8-DECB-47F3-B026-E9141CC91715}" name="ESTADO" dataDxfId="27"/>
    <tableColumn id="6" xr3:uid="{CD42F6A9-27B9-46E5-BE29-F0CAEA6C1530}" name="DÍAS_ABIERTO" dataDxfId="26">
      <calculatedColumnFormula>TODAY()-D2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4" zoomScaleNormal="100" workbookViewId="0">
      <selection activeCell="E17" sqref="E17"/>
    </sheetView>
  </sheetViews>
  <sheetFormatPr defaultColWidth="8.7109375" defaultRowHeight="15" x14ac:dyDescent="0.25"/>
  <cols>
    <col min="1" max="1" width="43" customWidth="1"/>
    <col min="2" max="2" width="18.28515625" customWidth="1"/>
    <col min="3" max="3" width="30.140625" customWidth="1"/>
    <col min="4" max="4" width="38" customWidth="1"/>
  </cols>
  <sheetData>
    <row r="1" spans="1:4" ht="27.75" customHeight="1" x14ac:dyDescent="0.25">
      <c r="A1" s="16" t="s">
        <v>0</v>
      </c>
      <c r="B1" s="16"/>
      <c r="C1" s="16"/>
      <c r="D1" s="16"/>
    </row>
    <row r="2" spans="1:4" ht="18" customHeight="1" x14ac:dyDescent="0.25">
      <c r="A2" s="17" t="s">
        <v>1</v>
      </c>
      <c r="B2" s="17"/>
      <c r="C2" s="17"/>
      <c r="D2" s="17"/>
    </row>
    <row r="3" spans="1:4" ht="6" customHeight="1" x14ac:dyDescent="0.25"/>
    <row r="4" spans="1:4" ht="19.5" customHeight="1" x14ac:dyDescent="0.25">
      <c r="A4" s="1" t="s">
        <v>2</v>
      </c>
    </row>
    <row r="5" spans="1:4" x14ac:dyDescent="0.25">
      <c r="A5" s="23" t="s">
        <v>3</v>
      </c>
      <c r="B5" s="23" t="s">
        <v>4</v>
      </c>
      <c r="C5" s="22" t="s">
        <v>5</v>
      </c>
    </row>
    <row r="6" spans="1:4" x14ac:dyDescent="0.25">
      <c r="A6" s="49" t="s">
        <v>6</v>
      </c>
      <c r="B6" s="50" t="s">
        <v>7</v>
      </c>
      <c r="C6" s="51">
        <v>365</v>
      </c>
    </row>
    <row r="7" spans="1:4" x14ac:dyDescent="0.25">
      <c r="A7" s="52" t="s">
        <v>8</v>
      </c>
      <c r="B7" s="53" t="s">
        <v>9</v>
      </c>
      <c r="C7" s="54">
        <v>730</v>
      </c>
    </row>
    <row r="8" spans="1:4" x14ac:dyDescent="0.25">
      <c r="A8" s="48" t="s">
        <v>10</v>
      </c>
      <c r="B8" s="55" t="s">
        <v>11</v>
      </c>
      <c r="C8" s="5">
        <v>1095</v>
      </c>
    </row>
    <row r="9" spans="1:4" ht="6" customHeight="1" x14ac:dyDescent="0.25"/>
    <row r="10" spans="1:4" ht="45" customHeight="1" x14ac:dyDescent="0.25">
      <c r="A10" s="18" t="s">
        <v>12</v>
      </c>
      <c r="B10" s="18"/>
      <c r="C10" s="18"/>
      <c r="D10" s="18"/>
    </row>
    <row r="11" spans="1:4" ht="6" customHeight="1" x14ac:dyDescent="0.25"/>
    <row r="12" spans="1:4" ht="19.5" customHeight="1" x14ac:dyDescent="0.25">
      <c r="A12" s="1" t="s">
        <v>13</v>
      </c>
    </row>
    <row r="13" spans="1:4" x14ac:dyDescent="0.25">
      <c r="A13" s="23" t="s">
        <v>14</v>
      </c>
      <c r="B13" s="23" t="s">
        <v>15</v>
      </c>
      <c r="C13" s="22" t="s">
        <v>16</v>
      </c>
    </row>
    <row r="14" spans="1:4" ht="24" x14ac:dyDescent="0.25">
      <c r="A14" s="56" t="s">
        <v>17</v>
      </c>
      <c r="B14" s="57" t="s">
        <v>18</v>
      </c>
      <c r="C14" s="58" t="s">
        <v>19</v>
      </c>
    </row>
    <row r="15" spans="1:4" ht="24" x14ac:dyDescent="0.25">
      <c r="A15" s="49" t="s">
        <v>20</v>
      </c>
      <c r="B15" s="59" t="s">
        <v>21</v>
      </c>
      <c r="C15" s="60" t="s">
        <v>19</v>
      </c>
    </row>
    <row r="16" spans="1:4" ht="24" x14ac:dyDescent="0.25">
      <c r="A16" s="52" t="s">
        <v>22</v>
      </c>
      <c r="B16" s="61" t="s">
        <v>23</v>
      </c>
      <c r="C16" s="30" t="s">
        <v>24</v>
      </c>
    </row>
    <row r="17" spans="1:4" ht="24" x14ac:dyDescent="0.25">
      <c r="A17" s="48" t="s">
        <v>25</v>
      </c>
      <c r="B17" s="62" t="s">
        <v>26</v>
      </c>
      <c r="C17" s="4" t="s">
        <v>27</v>
      </c>
    </row>
    <row r="18" spans="1:4" ht="6" customHeight="1" x14ac:dyDescent="0.25"/>
    <row r="19" spans="1:4" ht="19.5" customHeight="1" x14ac:dyDescent="0.25">
      <c r="A19" s="1" t="s">
        <v>28</v>
      </c>
    </row>
    <row r="20" spans="1:4" ht="24" x14ac:dyDescent="0.25">
      <c r="A20" s="23" t="s">
        <v>29</v>
      </c>
      <c r="B20" s="23" t="s">
        <v>30</v>
      </c>
      <c r="C20" s="23" t="s">
        <v>31</v>
      </c>
      <c r="D20" s="22" t="s">
        <v>32</v>
      </c>
    </row>
    <row r="21" spans="1:4" x14ac:dyDescent="0.25">
      <c r="A21" s="63" t="s">
        <v>33</v>
      </c>
      <c r="B21" s="64" t="s">
        <v>34</v>
      </c>
      <c r="C21" s="65" t="s">
        <v>7</v>
      </c>
      <c r="D21" s="66" t="s">
        <v>35</v>
      </c>
    </row>
    <row r="22" spans="1:4" x14ac:dyDescent="0.25">
      <c r="A22" s="67" t="s">
        <v>36</v>
      </c>
      <c r="B22" s="68" t="s">
        <v>34</v>
      </c>
      <c r="C22" s="69" t="s">
        <v>37</v>
      </c>
      <c r="D22" s="36" t="s">
        <v>38</v>
      </c>
    </row>
    <row r="23" spans="1:4" x14ac:dyDescent="0.25">
      <c r="A23" s="70" t="s">
        <v>39</v>
      </c>
      <c r="B23" s="71" t="s">
        <v>40</v>
      </c>
      <c r="C23" s="72" t="s">
        <v>41</v>
      </c>
      <c r="D23" s="73" t="s">
        <v>41</v>
      </c>
    </row>
  </sheetData>
  <mergeCells count="3">
    <mergeCell ref="A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zoomScaleNormal="100" workbookViewId="0">
      <pane ySplit="1" topLeftCell="A3" activePane="bottomLeft" state="frozen"/>
      <selection pane="bottomLeft" activeCell="C8" sqref="C8"/>
    </sheetView>
  </sheetViews>
  <sheetFormatPr defaultColWidth="8.7109375" defaultRowHeight="15" x14ac:dyDescent="0.25"/>
  <cols>
    <col min="1" max="1" width="13" customWidth="1"/>
    <col min="2" max="2" width="14.7109375" customWidth="1"/>
    <col min="3" max="3" width="22" customWidth="1"/>
    <col min="4" max="4" width="19.28515625" customWidth="1"/>
    <col min="5" max="5" width="21.28515625" customWidth="1"/>
    <col min="6" max="6" width="20.42578125" customWidth="1"/>
    <col min="7" max="7" width="19" customWidth="1"/>
    <col min="8" max="8" width="27.7109375" customWidth="1"/>
    <col min="9" max="9" width="24.42578125" customWidth="1"/>
    <col min="10" max="10" width="24.140625" customWidth="1"/>
    <col min="11" max="11" width="20.5703125" customWidth="1"/>
    <col min="12" max="12" width="18" customWidth="1"/>
    <col min="13" max="13" width="23.7109375" customWidth="1"/>
    <col min="14" max="14" width="29.28515625" customWidth="1"/>
    <col min="15" max="15" width="22.5703125" customWidth="1"/>
    <col min="16" max="16" width="25.7109375" customWidth="1"/>
    <col min="17" max="17" width="16.140625" customWidth="1"/>
    <col min="18" max="18" width="32" customWidth="1"/>
    <col min="19" max="19" width="19.140625" customWidth="1"/>
    <col min="20" max="20" width="22.85546875" customWidth="1"/>
    <col min="21" max="21" width="51.85546875" customWidth="1"/>
  </cols>
  <sheetData>
    <row r="1" spans="1:21" ht="37.5" customHeight="1" x14ac:dyDescent="0.25">
      <c r="A1" s="40" t="s">
        <v>42</v>
      </c>
      <c r="B1" s="41" t="s">
        <v>43</v>
      </c>
      <c r="C1" s="41" t="s">
        <v>44</v>
      </c>
      <c r="D1" s="41" t="s">
        <v>45</v>
      </c>
      <c r="E1" s="41" t="s">
        <v>46</v>
      </c>
      <c r="F1" s="41" t="s">
        <v>47</v>
      </c>
      <c r="G1" s="41" t="s">
        <v>48</v>
      </c>
      <c r="H1" s="41" t="s">
        <v>49</v>
      </c>
      <c r="I1" s="41" t="s">
        <v>50</v>
      </c>
      <c r="J1" s="41" t="s">
        <v>51</v>
      </c>
      <c r="K1" s="41" t="s">
        <v>52</v>
      </c>
      <c r="L1" s="41" t="s">
        <v>53</v>
      </c>
      <c r="M1" s="41" t="s">
        <v>54</v>
      </c>
      <c r="N1" s="41" t="s">
        <v>55</v>
      </c>
      <c r="O1" s="41" t="s">
        <v>56</v>
      </c>
      <c r="P1" s="41" t="s">
        <v>57</v>
      </c>
      <c r="Q1" s="41" t="s">
        <v>58</v>
      </c>
      <c r="R1" s="41" t="s">
        <v>59</v>
      </c>
      <c r="S1" s="41" t="s">
        <v>60</v>
      </c>
      <c r="T1" s="41" t="s">
        <v>61</v>
      </c>
      <c r="U1" s="42" t="s">
        <v>62</v>
      </c>
    </row>
    <row r="2" spans="1:21" ht="30" customHeight="1" x14ac:dyDescent="0.25">
      <c r="A2" s="33" t="s">
        <v>63</v>
      </c>
      <c r="B2" s="7" t="s">
        <v>64</v>
      </c>
      <c r="C2" s="8" t="s">
        <v>65</v>
      </c>
      <c r="D2" s="2" t="s">
        <v>6</v>
      </c>
      <c r="E2" s="7" t="s">
        <v>66</v>
      </c>
      <c r="F2" s="9">
        <v>44630</v>
      </c>
      <c r="G2" s="9">
        <v>45945</v>
      </c>
      <c r="H2" s="10">
        <f>VLOOKUP(D2,PARAMETROS!$A$6:$C$8,3,FALSE())</f>
        <v>365</v>
      </c>
      <c r="I2" s="11">
        <f t="shared" ref="I2:I33" si="0">G2+H2</f>
        <v>46310</v>
      </c>
      <c r="J2" s="10">
        <f t="shared" ref="J2:J33" ca="1" si="1">I2-TODAY()</f>
        <v>211</v>
      </c>
      <c r="K2" s="12" t="str">
        <f t="shared" ref="K2:K33" ca="1" si="2">IF(J2&lt;0,"VENCIDO",IF(J2&lt;30,"CRÍTICO",IF(J2&lt;180,"PRÓXIMO","AL DÍA")))</f>
        <v>AL DÍA</v>
      </c>
      <c r="L2" s="13" t="s">
        <v>67</v>
      </c>
      <c r="M2" s="8" t="s">
        <v>68</v>
      </c>
      <c r="N2" s="7" t="s">
        <v>34</v>
      </c>
      <c r="O2" s="9">
        <v>46073</v>
      </c>
      <c r="P2" s="7" t="s">
        <v>69</v>
      </c>
      <c r="Q2" s="14" t="s">
        <v>34</v>
      </c>
      <c r="R2" s="8" t="s">
        <v>70</v>
      </c>
      <c r="S2" s="12" t="str">
        <f t="shared" ref="S2:S33" ca="1" si="3">IF(AND(D2="ALTO",OR(K2="VENCIDO",K2="CRÍTICO")),"URGENTE",IF(D2="ALTO","ALTA",IF(OR(K2="VENCIDO",K2="CRÍTICO"),"ALTA","NORMAL")))</f>
        <v>ALTA</v>
      </c>
      <c r="T2" s="8" t="s">
        <v>71</v>
      </c>
      <c r="U2" s="39" t="s">
        <v>72</v>
      </c>
    </row>
    <row r="3" spans="1:21" ht="30" customHeight="1" x14ac:dyDescent="0.25">
      <c r="A3" s="33" t="s">
        <v>73</v>
      </c>
      <c r="B3" s="7" t="s">
        <v>64</v>
      </c>
      <c r="C3" s="8" t="s">
        <v>74</v>
      </c>
      <c r="D3" s="2" t="s">
        <v>6</v>
      </c>
      <c r="E3" s="7" t="s">
        <v>66</v>
      </c>
      <c r="F3" s="9">
        <v>44727</v>
      </c>
      <c r="G3" s="9">
        <v>45992</v>
      </c>
      <c r="H3" s="10">
        <f>VLOOKUP(D3,PARAMETROS!$A$6:$C$8,3,FALSE())</f>
        <v>365</v>
      </c>
      <c r="I3" s="11">
        <f t="shared" si="0"/>
        <v>46357</v>
      </c>
      <c r="J3" s="10">
        <f t="shared" ca="1" si="1"/>
        <v>258</v>
      </c>
      <c r="K3" s="12" t="str">
        <f t="shared" ca="1" si="2"/>
        <v>AL DÍA</v>
      </c>
      <c r="L3" s="13" t="s">
        <v>67</v>
      </c>
      <c r="M3" s="8" t="s">
        <v>68</v>
      </c>
      <c r="N3" s="7" t="s">
        <v>34</v>
      </c>
      <c r="O3" s="9">
        <v>46091</v>
      </c>
      <c r="P3" s="7" t="s">
        <v>69</v>
      </c>
      <c r="Q3" s="6" t="s">
        <v>75</v>
      </c>
      <c r="R3" s="8"/>
      <c r="S3" s="12" t="str">
        <f t="shared" ca="1" si="3"/>
        <v>ALTA</v>
      </c>
      <c r="T3" s="8" t="s">
        <v>76</v>
      </c>
      <c r="U3" s="39"/>
    </row>
    <row r="4" spans="1:21" ht="30" customHeight="1" x14ac:dyDescent="0.25">
      <c r="A4" s="33" t="s">
        <v>77</v>
      </c>
      <c r="B4" s="7" t="s">
        <v>78</v>
      </c>
      <c r="C4" s="8" t="s">
        <v>79</v>
      </c>
      <c r="D4" s="2" t="s">
        <v>6</v>
      </c>
      <c r="E4" s="7" t="s">
        <v>66</v>
      </c>
      <c r="F4" s="9">
        <v>44946</v>
      </c>
      <c r="G4" s="9">
        <v>45818</v>
      </c>
      <c r="H4" s="10">
        <f>VLOOKUP(D4,PARAMETROS!$A$6:$C$8,3,FALSE())</f>
        <v>365</v>
      </c>
      <c r="I4" s="11">
        <f t="shared" si="0"/>
        <v>46183</v>
      </c>
      <c r="J4" s="10">
        <f t="shared" ca="1" si="1"/>
        <v>84</v>
      </c>
      <c r="K4" s="12" t="str">
        <f t="shared" ca="1" si="2"/>
        <v>PRÓXIMO</v>
      </c>
      <c r="L4" s="13" t="s">
        <v>67</v>
      </c>
      <c r="M4" s="8" t="s">
        <v>80</v>
      </c>
      <c r="N4" s="7" t="s">
        <v>34</v>
      </c>
      <c r="O4" s="9">
        <v>46081</v>
      </c>
      <c r="P4" s="7" t="s">
        <v>69</v>
      </c>
      <c r="Q4" s="14" t="s">
        <v>34</v>
      </c>
      <c r="R4" s="8" t="s">
        <v>81</v>
      </c>
      <c r="S4" s="12" t="str">
        <f t="shared" ca="1" si="3"/>
        <v>ALTA</v>
      </c>
      <c r="T4" s="8" t="s">
        <v>82</v>
      </c>
      <c r="U4" s="39" t="s">
        <v>83</v>
      </c>
    </row>
    <row r="5" spans="1:21" ht="30" customHeight="1" x14ac:dyDescent="0.25">
      <c r="A5" s="33" t="s">
        <v>84</v>
      </c>
      <c r="B5" s="7" t="s">
        <v>64</v>
      </c>
      <c r="C5" s="8" t="s">
        <v>85</v>
      </c>
      <c r="D5" s="2" t="s">
        <v>6</v>
      </c>
      <c r="E5" s="7" t="s">
        <v>66</v>
      </c>
      <c r="F5" s="9">
        <v>44870</v>
      </c>
      <c r="G5" s="9">
        <v>45863</v>
      </c>
      <c r="H5" s="10">
        <f>VLOOKUP(D5,PARAMETROS!$A$6:$C$8,3,FALSE())</f>
        <v>365</v>
      </c>
      <c r="I5" s="11">
        <f t="shared" si="0"/>
        <v>46228</v>
      </c>
      <c r="J5" s="10">
        <f t="shared" ca="1" si="1"/>
        <v>129</v>
      </c>
      <c r="K5" s="12" t="str">
        <f t="shared" ca="1" si="2"/>
        <v>PRÓXIMO</v>
      </c>
      <c r="L5" s="13" t="s">
        <v>67</v>
      </c>
      <c r="M5" s="8" t="s">
        <v>68</v>
      </c>
      <c r="N5" s="7" t="s">
        <v>34</v>
      </c>
      <c r="O5" s="9">
        <v>46086</v>
      </c>
      <c r="P5" s="7" t="s">
        <v>69</v>
      </c>
      <c r="Q5" s="6" t="s">
        <v>75</v>
      </c>
      <c r="R5" s="8"/>
      <c r="S5" s="12" t="str">
        <f t="shared" ca="1" si="3"/>
        <v>ALTA</v>
      </c>
      <c r="T5" s="8" t="s">
        <v>71</v>
      </c>
      <c r="U5" s="39"/>
    </row>
    <row r="6" spans="1:21" ht="30" customHeight="1" x14ac:dyDescent="0.25">
      <c r="A6" s="33" t="s">
        <v>86</v>
      </c>
      <c r="B6" s="7" t="s">
        <v>64</v>
      </c>
      <c r="C6" s="8" t="s">
        <v>65</v>
      </c>
      <c r="D6" s="2" t="s">
        <v>6</v>
      </c>
      <c r="E6" s="7" t="s">
        <v>66</v>
      </c>
      <c r="F6" s="9">
        <v>44576</v>
      </c>
      <c r="G6" s="9">
        <v>45736</v>
      </c>
      <c r="H6" s="10">
        <f>VLOOKUP(D6,PARAMETROS!$A$6:$C$8,3,FALSE())</f>
        <v>365</v>
      </c>
      <c r="I6" s="11">
        <f t="shared" si="0"/>
        <v>46101</v>
      </c>
      <c r="J6" s="10">
        <f t="shared" ca="1" si="1"/>
        <v>2</v>
      </c>
      <c r="K6" s="12" t="str">
        <f t="shared" ca="1" si="2"/>
        <v>CRÍTICO</v>
      </c>
      <c r="L6" s="13" t="s">
        <v>67</v>
      </c>
      <c r="M6" s="8" t="s">
        <v>87</v>
      </c>
      <c r="N6" s="7" t="s">
        <v>88</v>
      </c>
      <c r="O6" s="9">
        <v>46068</v>
      </c>
      <c r="P6" s="7" t="s">
        <v>89</v>
      </c>
      <c r="Q6" s="14" t="s">
        <v>34</v>
      </c>
      <c r="R6" s="8" t="s">
        <v>90</v>
      </c>
      <c r="S6" s="12" t="str">
        <f t="shared" ca="1" si="3"/>
        <v>URGENTE</v>
      </c>
      <c r="T6" s="8" t="s">
        <v>91</v>
      </c>
      <c r="U6" s="39" t="s">
        <v>92</v>
      </c>
    </row>
    <row r="7" spans="1:21" ht="30" customHeight="1" x14ac:dyDescent="0.25">
      <c r="A7" s="33" t="s">
        <v>93</v>
      </c>
      <c r="B7" s="7" t="s">
        <v>78</v>
      </c>
      <c r="C7" s="8" t="s">
        <v>74</v>
      </c>
      <c r="D7" s="2" t="s">
        <v>6</v>
      </c>
      <c r="E7" s="7" t="s">
        <v>66</v>
      </c>
      <c r="F7" s="9">
        <v>45026</v>
      </c>
      <c r="G7" s="9">
        <v>45744</v>
      </c>
      <c r="H7" s="10">
        <f>VLOOKUP(D7,PARAMETROS!$A$6:$C$8,3,FALSE())</f>
        <v>365</v>
      </c>
      <c r="I7" s="11">
        <f t="shared" si="0"/>
        <v>46109</v>
      </c>
      <c r="J7" s="10">
        <f t="shared" ca="1" si="1"/>
        <v>10</v>
      </c>
      <c r="K7" s="12" t="str">
        <f t="shared" ca="1" si="2"/>
        <v>CRÍTICO</v>
      </c>
      <c r="L7" s="13" t="s">
        <v>67</v>
      </c>
      <c r="M7" s="8" t="s">
        <v>94</v>
      </c>
      <c r="N7" s="7" t="s">
        <v>34</v>
      </c>
      <c r="O7" s="9">
        <v>46073</v>
      </c>
      <c r="P7" s="7" t="s">
        <v>69</v>
      </c>
      <c r="Q7" s="14" t="s">
        <v>34</v>
      </c>
      <c r="R7" s="8" t="s">
        <v>95</v>
      </c>
      <c r="S7" s="12" t="str">
        <f t="shared" ca="1" si="3"/>
        <v>URGENTE</v>
      </c>
      <c r="T7" s="8" t="s">
        <v>71</v>
      </c>
      <c r="U7" s="39" t="s">
        <v>96</v>
      </c>
    </row>
    <row r="8" spans="1:21" ht="30" customHeight="1" x14ac:dyDescent="0.25">
      <c r="A8" s="33" t="s">
        <v>97</v>
      </c>
      <c r="B8" s="7" t="s">
        <v>64</v>
      </c>
      <c r="C8" s="8" t="s">
        <v>98</v>
      </c>
      <c r="D8" s="2" t="s">
        <v>6</v>
      </c>
      <c r="E8" s="7" t="s">
        <v>66</v>
      </c>
      <c r="F8" s="9">
        <v>44793</v>
      </c>
      <c r="G8" s="9">
        <v>45748</v>
      </c>
      <c r="H8" s="10">
        <f>VLOOKUP(D8,PARAMETROS!$A$6:$C$8,3,FALSE())</f>
        <v>365</v>
      </c>
      <c r="I8" s="11">
        <f t="shared" si="0"/>
        <v>46113</v>
      </c>
      <c r="J8" s="10">
        <f t="shared" ca="1" si="1"/>
        <v>14</v>
      </c>
      <c r="K8" s="12" t="str">
        <f t="shared" ca="1" si="2"/>
        <v>CRÍTICO</v>
      </c>
      <c r="L8" s="13" t="s">
        <v>67</v>
      </c>
      <c r="M8" s="8" t="s">
        <v>68</v>
      </c>
      <c r="N8" s="7" t="s">
        <v>34</v>
      </c>
      <c r="O8" s="9">
        <v>46082</v>
      </c>
      <c r="P8" s="7" t="s">
        <v>69</v>
      </c>
      <c r="Q8" s="14" t="s">
        <v>34</v>
      </c>
      <c r="R8" s="8" t="s">
        <v>99</v>
      </c>
      <c r="S8" s="12" t="str">
        <f t="shared" ca="1" si="3"/>
        <v>URGENTE</v>
      </c>
      <c r="T8" s="8" t="s">
        <v>76</v>
      </c>
      <c r="U8" s="39" t="s">
        <v>100</v>
      </c>
    </row>
    <row r="9" spans="1:21" ht="30" customHeight="1" x14ac:dyDescent="0.25">
      <c r="A9" s="33" t="s">
        <v>101</v>
      </c>
      <c r="B9" s="7" t="s">
        <v>64</v>
      </c>
      <c r="C9" s="8" t="s">
        <v>79</v>
      </c>
      <c r="D9" s="2" t="s">
        <v>6</v>
      </c>
      <c r="E9" s="7" t="s">
        <v>66</v>
      </c>
      <c r="F9" s="9">
        <v>44958</v>
      </c>
      <c r="G9" s="9">
        <v>45755</v>
      </c>
      <c r="H9" s="10">
        <f>VLOOKUP(D9,PARAMETROS!$A$6:$C$8,3,FALSE())</f>
        <v>365</v>
      </c>
      <c r="I9" s="11">
        <f t="shared" si="0"/>
        <v>46120</v>
      </c>
      <c r="J9" s="10">
        <f t="shared" ca="1" si="1"/>
        <v>21</v>
      </c>
      <c r="K9" s="12" t="str">
        <f t="shared" ca="1" si="2"/>
        <v>CRÍTICO</v>
      </c>
      <c r="L9" s="13" t="s">
        <v>67</v>
      </c>
      <c r="M9" s="8" t="s">
        <v>80</v>
      </c>
      <c r="N9" s="7" t="s">
        <v>88</v>
      </c>
      <c r="O9" s="9">
        <v>46063</v>
      </c>
      <c r="P9" s="7" t="s">
        <v>69</v>
      </c>
      <c r="Q9" s="14" t="s">
        <v>34</v>
      </c>
      <c r="R9" s="8" t="s">
        <v>102</v>
      </c>
      <c r="S9" s="12" t="str">
        <f t="shared" ca="1" si="3"/>
        <v>URGENTE</v>
      </c>
      <c r="T9" s="8" t="s">
        <v>82</v>
      </c>
      <c r="U9" s="39" t="s">
        <v>103</v>
      </c>
    </row>
    <row r="10" spans="1:21" ht="30" customHeight="1" x14ac:dyDescent="0.25">
      <c r="A10" s="33" t="s">
        <v>104</v>
      </c>
      <c r="B10" s="7" t="s">
        <v>78</v>
      </c>
      <c r="C10" s="8" t="s">
        <v>85</v>
      </c>
      <c r="D10" s="2" t="s">
        <v>6</v>
      </c>
      <c r="E10" s="7" t="s">
        <v>66</v>
      </c>
      <c r="F10" s="9">
        <v>44691</v>
      </c>
      <c r="G10" s="9">
        <v>45636</v>
      </c>
      <c r="H10" s="10">
        <f>VLOOKUP(D10,PARAMETROS!$A$6:$C$8,3,FALSE())</f>
        <v>365</v>
      </c>
      <c r="I10" s="11">
        <f t="shared" si="0"/>
        <v>46001</v>
      </c>
      <c r="J10" s="10">
        <f t="shared" ca="1" si="1"/>
        <v>-98</v>
      </c>
      <c r="K10" s="12" t="str">
        <f t="shared" ca="1" si="2"/>
        <v>VENCIDO</v>
      </c>
      <c r="L10" s="13" t="s">
        <v>67</v>
      </c>
      <c r="M10" s="8" t="s">
        <v>87</v>
      </c>
      <c r="N10" s="7" t="s">
        <v>75</v>
      </c>
      <c r="O10" s="9">
        <v>46006</v>
      </c>
      <c r="P10" s="7" t="s">
        <v>89</v>
      </c>
      <c r="Q10" s="14" t="s">
        <v>34</v>
      </c>
      <c r="R10" s="8" t="s">
        <v>105</v>
      </c>
      <c r="S10" s="12" t="str">
        <f t="shared" ca="1" si="3"/>
        <v>URGENTE</v>
      </c>
      <c r="T10" s="8" t="s">
        <v>91</v>
      </c>
      <c r="U10" s="39" t="s">
        <v>106</v>
      </c>
    </row>
    <row r="11" spans="1:21" ht="30" customHeight="1" x14ac:dyDescent="0.25">
      <c r="A11" s="33" t="s">
        <v>107</v>
      </c>
      <c r="B11" s="7" t="s">
        <v>64</v>
      </c>
      <c r="C11" s="8" t="s">
        <v>108</v>
      </c>
      <c r="D11" s="2" t="s">
        <v>6</v>
      </c>
      <c r="E11" s="7" t="s">
        <v>66</v>
      </c>
      <c r="F11" s="9">
        <v>44440</v>
      </c>
      <c r="G11" s="9">
        <v>45555</v>
      </c>
      <c r="H11" s="10">
        <f>VLOOKUP(D11,PARAMETROS!$A$6:$C$8,3,FALSE())</f>
        <v>365</v>
      </c>
      <c r="I11" s="11">
        <f t="shared" si="0"/>
        <v>45920</v>
      </c>
      <c r="J11" s="10">
        <f t="shared" ca="1" si="1"/>
        <v>-179</v>
      </c>
      <c r="K11" s="12" t="str">
        <f t="shared" ca="1" si="2"/>
        <v>VENCIDO</v>
      </c>
      <c r="L11" s="13" t="s">
        <v>67</v>
      </c>
      <c r="M11" s="8" t="s">
        <v>109</v>
      </c>
      <c r="N11" s="7" t="s">
        <v>75</v>
      </c>
      <c r="O11" s="9">
        <v>45925</v>
      </c>
      <c r="P11" s="7" t="s">
        <v>69</v>
      </c>
      <c r="Q11" s="14" t="s">
        <v>34</v>
      </c>
      <c r="R11" s="8" t="s">
        <v>105</v>
      </c>
      <c r="S11" s="12" t="str">
        <f t="shared" ca="1" si="3"/>
        <v>URGENTE</v>
      </c>
      <c r="T11" s="8" t="s">
        <v>71</v>
      </c>
      <c r="U11" s="39" t="s">
        <v>110</v>
      </c>
    </row>
    <row r="12" spans="1:21" ht="30" customHeight="1" x14ac:dyDescent="0.25">
      <c r="A12" s="33" t="s">
        <v>111</v>
      </c>
      <c r="B12" s="7" t="s">
        <v>78</v>
      </c>
      <c r="C12" s="8" t="s">
        <v>112</v>
      </c>
      <c r="D12" s="3" t="s">
        <v>8</v>
      </c>
      <c r="E12" s="7" t="s">
        <v>113</v>
      </c>
      <c r="F12" s="9">
        <v>44743</v>
      </c>
      <c r="G12" s="9">
        <v>45555</v>
      </c>
      <c r="H12" s="10">
        <f>VLOOKUP(D12,PARAMETROS!$A$6:$C$8,3,FALSE())</f>
        <v>730</v>
      </c>
      <c r="I12" s="11">
        <f t="shared" si="0"/>
        <v>46285</v>
      </c>
      <c r="J12" s="10">
        <f t="shared" ca="1" si="1"/>
        <v>186</v>
      </c>
      <c r="K12" s="12" t="str">
        <f t="shared" ca="1" si="2"/>
        <v>AL DÍA</v>
      </c>
      <c r="L12" s="13" t="s">
        <v>67</v>
      </c>
      <c r="M12" s="8" t="s">
        <v>68</v>
      </c>
      <c r="N12" s="7" t="s">
        <v>34</v>
      </c>
      <c r="O12" s="9">
        <v>46091</v>
      </c>
      <c r="P12" s="7" t="s">
        <v>69</v>
      </c>
      <c r="Q12" s="6" t="s">
        <v>75</v>
      </c>
      <c r="R12" s="8"/>
      <c r="S12" s="12" t="str">
        <f t="shared" ca="1" si="3"/>
        <v>NORMAL</v>
      </c>
      <c r="T12" s="8" t="s">
        <v>76</v>
      </c>
      <c r="U12" s="39"/>
    </row>
    <row r="13" spans="1:21" ht="30" customHeight="1" x14ac:dyDescent="0.25">
      <c r="A13" s="33" t="s">
        <v>114</v>
      </c>
      <c r="B13" s="7" t="s">
        <v>64</v>
      </c>
      <c r="C13" s="8" t="s">
        <v>115</v>
      </c>
      <c r="D13" s="3" t="s">
        <v>8</v>
      </c>
      <c r="E13" s="7" t="s">
        <v>113</v>
      </c>
      <c r="F13" s="9">
        <v>44666</v>
      </c>
      <c r="G13" s="9">
        <v>45566</v>
      </c>
      <c r="H13" s="10">
        <f>VLOOKUP(D13,PARAMETROS!$A$6:$C$8,3,FALSE())</f>
        <v>730</v>
      </c>
      <c r="I13" s="11">
        <f t="shared" si="0"/>
        <v>46296</v>
      </c>
      <c r="J13" s="10">
        <f t="shared" ca="1" si="1"/>
        <v>197</v>
      </c>
      <c r="K13" s="12" t="str">
        <f t="shared" ca="1" si="2"/>
        <v>AL DÍA</v>
      </c>
      <c r="L13" s="13" t="s">
        <v>67</v>
      </c>
      <c r="M13" s="8" t="s">
        <v>68</v>
      </c>
      <c r="N13" s="7" t="s">
        <v>34</v>
      </c>
      <c r="O13" s="9">
        <v>46078</v>
      </c>
      <c r="P13" s="7" t="s">
        <v>69</v>
      </c>
      <c r="Q13" s="6" t="s">
        <v>75</v>
      </c>
      <c r="R13" s="8"/>
      <c r="S13" s="12" t="str">
        <f t="shared" ca="1" si="3"/>
        <v>NORMAL</v>
      </c>
      <c r="T13" s="8" t="s">
        <v>82</v>
      </c>
      <c r="U13" s="39"/>
    </row>
    <row r="14" spans="1:21" ht="30" customHeight="1" x14ac:dyDescent="0.25">
      <c r="A14" s="33" t="s">
        <v>116</v>
      </c>
      <c r="B14" s="7" t="s">
        <v>78</v>
      </c>
      <c r="C14" s="8" t="s">
        <v>117</v>
      </c>
      <c r="D14" s="3" t="s">
        <v>8</v>
      </c>
      <c r="E14" s="7" t="s">
        <v>113</v>
      </c>
      <c r="F14" s="9">
        <v>44986</v>
      </c>
      <c r="G14" s="9">
        <v>45585</v>
      </c>
      <c r="H14" s="10">
        <f>VLOOKUP(D14,PARAMETROS!$A$6:$C$8,3,FALSE())</f>
        <v>730</v>
      </c>
      <c r="I14" s="11">
        <f t="shared" si="0"/>
        <v>46315</v>
      </c>
      <c r="J14" s="10">
        <f t="shared" ca="1" si="1"/>
        <v>216</v>
      </c>
      <c r="K14" s="12" t="str">
        <f t="shared" ca="1" si="2"/>
        <v>AL DÍA</v>
      </c>
      <c r="L14" s="13" t="s">
        <v>67</v>
      </c>
      <c r="M14" s="8" t="s">
        <v>68</v>
      </c>
      <c r="N14" s="7" t="s">
        <v>34</v>
      </c>
      <c r="O14" s="9">
        <v>46086</v>
      </c>
      <c r="P14" s="7" t="s">
        <v>69</v>
      </c>
      <c r="Q14" s="6" t="s">
        <v>75</v>
      </c>
      <c r="R14" s="8"/>
      <c r="S14" s="12" t="str">
        <f t="shared" ca="1" si="3"/>
        <v>NORMAL</v>
      </c>
      <c r="T14" s="8" t="s">
        <v>91</v>
      </c>
      <c r="U14" s="39"/>
    </row>
    <row r="15" spans="1:21" ht="30" customHeight="1" x14ac:dyDescent="0.25">
      <c r="A15" s="33" t="s">
        <v>118</v>
      </c>
      <c r="B15" s="7" t="s">
        <v>64</v>
      </c>
      <c r="C15" s="8" t="s">
        <v>119</v>
      </c>
      <c r="D15" s="3" t="s">
        <v>8</v>
      </c>
      <c r="E15" s="7" t="s">
        <v>113</v>
      </c>
      <c r="F15" s="9">
        <v>44814</v>
      </c>
      <c r="G15" s="9">
        <v>45601</v>
      </c>
      <c r="H15" s="10">
        <f>VLOOKUP(D15,PARAMETROS!$A$6:$C$8,3,FALSE())</f>
        <v>730</v>
      </c>
      <c r="I15" s="11">
        <f t="shared" si="0"/>
        <v>46331</v>
      </c>
      <c r="J15" s="10">
        <f t="shared" ca="1" si="1"/>
        <v>232</v>
      </c>
      <c r="K15" s="12" t="str">
        <f t="shared" ca="1" si="2"/>
        <v>AL DÍA</v>
      </c>
      <c r="L15" s="13" t="s">
        <v>67</v>
      </c>
      <c r="M15" s="8" t="s">
        <v>68</v>
      </c>
      <c r="N15" s="7" t="s">
        <v>34</v>
      </c>
      <c r="O15" s="9">
        <v>46082</v>
      </c>
      <c r="P15" s="7" t="s">
        <v>69</v>
      </c>
      <c r="Q15" s="6" t="s">
        <v>75</v>
      </c>
      <c r="R15" s="8"/>
      <c r="S15" s="12" t="str">
        <f t="shared" ca="1" si="3"/>
        <v>NORMAL</v>
      </c>
      <c r="T15" s="8" t="s">
        <v>71</v>
      </c>
      <c r="U15" s="39"/>
    </row>
    <row r="16" spans="1:21" ht="30" customHeight="1" x14ac:dyDescent="0.25">
      <c r="A16" s="33" t="s">
        <v>120</v>
      </c>
      <c r="B16" s="7" t="s">
        <v>78</v>
      </c>
      <c r="C16" s="8" t="s">
        <v>79</v>
      </c>
      <c r="D16" s="3" t="s">
        <v>8</v>
      </c>
      <c r="E16" s="7" t="s">
        <v>113</v>
      </c>
      <c r="F16" s="9">
        <v>45097</v>
      </c>
      <c r="G16" s="9">
        <v>45616</v>
      </c>
      <c r="H16" s="10">
        <f>VLOOKUP(D16,PARAMETROS!$A$6:$C$8,3,FALSE())</f>
        <v>730</v>
      </c>
      <c r="I16" s="11">
        <f t="shared" si="0"/>
        <v>46346</v>
      </c>
      <c r="J16" s="10">
        <f t="shared" ca="1" si="1"/>
        <v>247</v>
      </c>
      <c r="K16" s="12" t="str">
        <f t="shared" ca="1" si="2"/>
        <v>AL DÍA</v>
      </c>
      <c r="L16" s="13" t="s">
        <v>67</v>
      </c>
      <c r="M16" s="8" t="s">
        <v>68</v>
      </c>
      <c r="N16" s="7" t="s">
        <v>34</v>
      </c>
      <c r="O16" s="9">
        <v>46091</v>
      </c>
      <c r="P16" s="7" t="s">
        <v>69</v>
      </c>
      <c r="Q16" s="6" t="s">
        <v>75</v>
      </c>
      <c r="R16" s="8"/>
      <c r="S16" s="12" t="str">
        <f t="shared" ca="1" si="3"/>
        <v>NORMAL</v>
      </c>
      <c r="T16" s="8" t="s">
        <v>76</v>
      </c>
      <c r="U16" s="39"/>
    </row>
    <row r="17" spans="1:21" ht="30" customHeight="1" x14ac:dyDescent="0.25">
      <c r="A17" s="33" t="s">
        <v>121</v>
      </c>
      <c r="B17" s="7" t="s">
        <v>64</v>
      </c>
      <c r="C17" s="8" t="s">
        <v>112</v>
      </c>
      <c r="D17" s="3" t="s">
        <v>8</v>
      </c>
      <c r="E17" s="7" t="s">
        <v>113</v>
      </c>
      <c r="F17" s="9">
        <v>44896</v>
      </c>
      <c r="G17" s="9">
        <v>45636</v>
      </c>
      <c r="H17" s="10">
        <f>VLOOKUP(D17,PARAMETROS!$A$6:$C$8,3,FALSE())</f>
        <v>730</v>
      </c>
      <c r="I17" s="11">
        <f t="shared" si="0"/>
        <v>46366</v>
      </c>
      <c r="J17" s="10">
        <f t="shared" ca="1" si="1"/>
        <v>267</v>
      </c>
      <c r="K17" s="12" t="str">
        <f t="shared" ca="1" si="2"/>
        <v>AL DÍA</v>
      </c>
      <c r="L17" s="13" t="s">
        <v>67</v>
      </c>
      <c r="M17" s="8" t="s">
        <v>68</v>
      </c>
      <c r="N17" s="7" t="s">
        <v>34</v>
      </c>
      <c r="O17" s="9">
        <v>46073</v>
      </c>
      <c r="P17" s="7" t="s">
        <v>69</v>
      </c>
      <c r="Q17" s="6" t="s">
        <v>75</v>
      </c>
      <c r="R17" s="8"/>
      <c r="S17" s="12" t="str">
        <f t="shared" ca="1" si="3"/>
        <v>NORMAL</v>
      </c>
      <c r="T17" s="8" t="s">
        <v>82</v>
      </c>
      <c r="U17" s="39"/>
    </row>
    <row r="18" spans="1:21" ht="30" customHeight="1" x14ac:dyDescent="0.25">
      <c r="A18" s="33" t="s">
        <v>122</v>
      </c>
      <c r="B18" s="7" t="s">
        <v>78</v>
      </c>
      <c r="C18" s="8" t="s">
        <v>108</v>
      </c>
      <c r="D18" s="3" t="s">
        <v>8</v>
      </c>
      <c r="E18" s="7" t="s">
        <v>113</v>
      </c>
      <c r="F18" s="9">
        <v>44931</v>
      </c>
      <c r="G18" s="9">
        <v>45672</v>
      </c>
      <c r="H18" s="10">
        <f>VLOOKUP(D18,PARAMETROS!$A$6:$C$8,3,FALSE())</f>
        <v>730</v>
      </c>
      <c r="I18" s="11">
        <f t="shared" si="0"/>
        <v>46402</v>
      </c>
      <c r="J18" s="10">
        <f t="shared" ca="1" si="1"/>
        <v>303</v>
      </c>
      <c r="K18" s="12" t="str">
        <f t="shared" ca="1" si="2"/>
        <v>AL DÍA</v>
      </c>
      <c r="L18" s="13" t="s">
        <v>67</v>
      </c>
      <c r="M18" s="8" t="s">
        <v>68</v>
      </c>
      <c r="N18" s="7" t="s">
        <v>34</v>
      </c>
      <c r="O18" s="9">
        <v>46091</v>
      </c>
      <c r="P18" s="7" t="s">
        <v>69</v>
      </c>
      <c r="Q18" s="6" t="s">
        <v>75</v>
      </c>
      <c r="R18" s="8"/>
      <c r="S18" s="12" t="str">
        <f t="shared" ca="1" si="3"/>
        <v>NORMAL</v>
      </c>
      <c r="T18" s="8" t="s">
        <v>91</v>
      </c>
      <c r="U18" s="39"/>
    </row>
    <row r="19" spans="1:21" ht="30" customHeight="1" x14ac:dyDescent="0.25">
      <c r="A19" s="33" t="s">
        <v>123</v>
      </c>
      <c r="B19" s="7" t="s">
        <v>64</v>
      </c>
      <c r="C19" s="8" t="s">
        <v>98</v>
      </c>
      <c r="D19" s="3" t="s">
        <v>8</v>
      </c>
      <c r="E19" s="7" t="s">
        <v>113</v>
      </c>
      <c r="F19" s="9">
        <v>44788</v>
      </c>
      <c r="G19" s="9">
        <v>45698</v>
      </c>
      <c r="H19" s="10">
        <f>VLOOKUP(D19,PARAMETROS!$A$6:$C$8,3,FALSE())</f>
        <v>730</v>
      </c>
      <c r="I19" s="11">
        <f t="shared" si="0"/>
        <v>46428</v>
      </c>
      <c r="J19" s="10">
        <f t="shared" ca="1" si="1"/>
        <v>329</v>
      </c>
      <c r="K19" s="12" t="str">
        <f t="shared" ca="1" si="2"/>
        <v>AL DÍA</v>
      </c>
      <c r="L19" s="13" t="s">
        <v>67</v>
      </c>
      <c r="M19" s="8" t="s">
        <v>68</v>
      </c>
      <c r="N19" s="7" t="s">
        <v>34</v>
      </c>
      <c r="O19" s="9">
        <v>46086</v>
      </c>
      <c r="P19" s="7" t="s">
        <v>69</v>
      </c>
      <c r="Q19" s="6" t="s">
        <v>75</v>
      </c>
      <c r="R19" s="8"/>
      <c r="S19" s="12" t="str">
        <f t="shared" ca="1" si="3"/>
        <v>NORMAL</v>
      </c>
      <c r="T19" s="8" t="s">
        <v>71</v>
      </c>
      <c r="U19" s="39"/>
    </row>
    <row r="20" spans="1:21" ht="30" customHeight="1" x14ac:dyDescent="0.25">
      <c r="A20" s="33" t="s">
        <v>124</v>
      </c>
      <c r="B20" s="7" t="s">
        <v>78</v>
      </c>
      <c r="C20" s="8" t="s">
        <v>74</v>
      </c>
      <c r="D20" s="3" t="s">
        <v>8</v>
      </c>
      <c r="E20" s="7" t="s">
        <v>113</v>
      </c>
      <c r="F20" s="9">
        <v>45117</v>
      </c>
      <c r="G20" s="9">
        <v>45741</v>
      </c>
      <c r="H20" s="10">
        <f>VLOOKUP(D20,PARAMETROS!$A$6:$C$8,3,FALSE())</f>
        <v>730</v>
      </c>
      <c r="I20" s="11">
        <f t="shared" si="0"/>
        <v>46471</v>
      </c>
      <c r="J20" s="10">
        <f t="shared" ca="1" si="1"/>
        <v>372</v>
      </c>
      <c r="K20" s="12" t="str">
        <f t="shared" ca="1" si="2"/>
        <v>AL DÍA</v>
      </c>
      <c r="L20" s="13" t="s">
        <v>67</v>
      </c>
      <c r="M20" s="8" t="s">
        <v>68</v>
      </c>
      <c r="N20" s="7" t="s">
        <v>34</v>
      </c>
      <c r="O20" s="9">
        <v>46091</v>
      </c>
      <c r="P20" s="7" t="s">
        <v>69</v>
      </c>
      <c r="Q20" s="6" t="s">
        <v>75</v>
      </c>
      <c r="R20" s="8"/>
      <c r="S20" s="12" t="str">
        <f t="shared" ca="1" si="3"/>
        <v>NORMAL</v>
      </c>
      <c r="T20" s="8" t="s">
        <v>76</v>
      </c>
      <c r="U20" s="39"/>
    </row>
    <row r="21" spans="1:21" ht="30" customHeight="1" x14ac:dyDescent="0.25">
      <c r="A21" s="33" t="s">
        <v>125</v>
      </c>
      <c r="B21" s="7" t="s">
        <v>64</v>
      </c>
      <c r="C21" s="8" t="s">
        <v>85</v>
      </c>
      <c r="D21" s="3" t="s">
        <v>8</v>
      </c>
      <c r="E21" s="7" t="s">
        <v>113</v>
      </c>
      <c r="F21" s="9">
        <v>45174</v>
      </c>
      <c r="G21" s="9">
        <v>45792</v>
      </c>
      <c r="H21" s="10">
        <f>VLOOKUP(D21,PARAMETROS!$A$6:$C$8,3,FALSE())</f>
        <v>730</v>
      </c>
      <c r="I21" s="11">
        <f t="shared" si="0"/>
        <v>46522</v>
      </c>
      <c r="J21" s="10">
        <f t="shared" ca="1" si="1"/>
        <v>423</v>
      </c>
      <c r="K21" s="12" t="str">
        <f t="shared" ca="1" si="2"/>
        <v>AL DÍA</v>
      </c>
      <c r="L21" s="13" t="s">
        <v>67</v>
      </c>
      <c r="M21" s="8" t="s">
        <v>68</v>
      </c>
      <c r="N21" s="7" t="s">
        <v>34</v>
      </c>
      <c r="O21" s="9">
        <v>46081</v>
      </c>
      <c r="P21" s="7" t="s">
        <v>69</v>
      </c>
      <c r="Q21" s="6" t="s">
        <v>75</v>
      </c>
      <c r="R21" s="8"/>
      <c r="S21" s="12" t="str">
        <f t="shared" ca="1" si="3"/>
        <v>NORMAL</v>
      </c>
      <c r="T21" s="8" t="s">
        <v>82</v>
      </c>
      <c r="U21" s="39"/>
    </row>
    <row r="22" spans="1:21" ht="30" customHeight="1" x14ac:dyDescent="0.25">
      <c r="A22" s="33" t="s">
        <v>126</v>
      </c>
      <c r="B22" s="7" t="s">
        <v>78</v>
      </c>
      <c r="C22" s="8" t="s">
        <v>117</v>
      </c>
      <c r="D22" s="3" t="s">
        <v>8</v>
      </c>
      <c r="E22" s="7" t="s">
        <v>113</v>
      </c>
      <c r="F22" s="9">
        <v>45301</v>
      </c>
      <c r="G22" s="9">
        <v>45839</v>
      </c>
      <c r="H22" s="10">
        <f>VLOOKUP(D22,PARAMETROS!$A$6:$C$8,3,FALSE())</f>
        <v>730</v>
      </c>
      <c r="I22" s="11">
        <f t="shared" si="0"/>
        <v>46569</v>
      </c>
      <c r="J22" s="10">
        <f t="shared" ca="1" si="1"/>
        <v>470</v>
      </c>
      <c r="K22" s="12" t="str">
        <f t="shared" ca="1" si="2"/>
        <v>AL DÍA</v>
      </c>
      <c r="L22" s="13" t="s">
        <v>67</v>
      </c>
      <c r="M22" s="8" t="s">
        <v>68</v>
      </c>
      <c r="N22" s="7" t="s">
        <v>34</v>
      </c>
      <c r="O22" s="9">
        <v>46082</v>
      </c>
      <c r="P22" s="7" t="s">
        <v>69</v>
      </c>
      <c r="Q22" s="6" t="s">
        <v>75</v>
      </c>
      <c r="R22" s="8"/>
      <c r="S22" s="12" t="str">
        <f t="shared" ca="1" si="3"/>
        <v>NORMAL</v>
      </c>
      <c r="T22" s="8" t="s">
        <v>91</v>
      </c>
      <c r="U22" s="39"/>
    </row>
    <row r="23" spans="1:21" ht="30" customHeight="1" x14ac:dyDescent="0.25">
      <c r="A23" s="33" t="s">
        <v>127</v>
      </c>
      <c r="B23" s="7" t="s">
        <v>64</v>
      </c>
      <c r="C23" s="8" t="s">
        <v>65</v>
      </c>
      <c r="D23" s="3" t="s">
        <v>8</v>
      </c>
      <c r="E23" s="7" t="s">
        <v>113</v>
      </c>
      <c r="F23" s="9">
        <v>45250</v>
      </c>
      <c r="G23" s="9">
        <v>45910</v>
      </c>
      <c r="H23" s="10">
        <f>VLOOKUP(D23,PARAMETROS!$A$6:$C$8,3,FALSE())</f>
        <v>730</v>
      </c>
      <c r="I23" s="11">
        <f t="shared" si="0"/>
        <v>46640</v>
      </c>
      <c r="J23" s="10">
        <f t="shared" ca="1" si="1"/>
        <v>541</v>
      </c>
      <c r="K23" s="12" t="str">
        <f t="shared" ca="1" si="2"/>
        <v>AL DÍA</v>
      </c>
      <c r="L23" s="13" t="s">
        <v>67</v>
      </c>
      <c r="M23" s="8" t="s">
        <v>68</v>
      </c>
      <c r="N23" s="7" t="s">
        <v>34</v>
      </c>
      <c r="O23" s="9">
        <v>46086</v>
      </c>
      <c r="P23" s="7" t="s">
        <v>69</v>
      </c>
      <c r="Q23" s="6" t="s">
        <v>75</v>
      </c>
      <c r="R23" s="8"/>
      <c r="S23" s="12" t="str">
        <f t="shared" ca="1" si="3"/>
        <v>NORMAL</v>
      </c>
      <c r="T23" s="8" t="s">
        <v>71</v>
      </c>
      <c r="U23" s="39"/>
    </row>
    <row r="24" spans="1:21" ht="30" customHeight="1" x14ac:dyDescent="0.25">
      <c r="A24" s="33" t="s">
        <v>128</v>
      </c>
      <c r="B24" s="7" t="s">
        <v>78</v>
      </c>
      <c r="C24" s="8" t="s">
        <v>112</v>
      </c>
      <c r="D24" s="3" t="s">
        <v>8</v>
      </c>
      <c r="E24" s="7" t="s">
        <v>113</v>
      </c>
      <c r="F24" s="9">
        <v>44576</v>
      </c>
      <c r="G24" s="9">
        <v>45422</v>
      </c>
      <c r="H24" s="10">
        <f>VLOOKUP(D24,PARAMETROS!$A$6:$C$8,3,FALSE())</f>
        <v>730</v>
      </c>
      <c r="I24" s="11">
        <f t="shared" si="0"/>
        <v>46152</v>
      </c>
      <c r="J24" s="10">
        <f t="shared" ca="1" si="1"/>
        <v>53</v>
      </c>
      <c r="K24" s="12" t="str">
        <f t="shared" ca="1" si="2"/>
        <v>PRÓXIMO</v>
      </c>
      <c r="L24" s="13" t="s">
        <v>67</v>
      </c>
      <c r="M24" s="8" t="s">
        <v>80</v>
      </c>
      <c r="N24" s="7" t="s">
        <v>34</v>
      </c>
      <c r="O24" s="9">
        <v>46042</v>
      </c>
      <c r="P24" s="7" t="s">
        <v>69</v>
      </c>
      <c r="Q24" s="14" t="s">
        <v>34</v>
      </c>
      <c r="R24" s="8" t="s">
        <v>81</v>
      </c>
      <c r="S24" s="12" t="str">
        <f t="shared" ca="1" si="3"/>
        <v>NORMAL</v>
      </c>
      <c r="T24" s="8" t="s">
        <v>76</v>
      </c>
      <c r="U24" s="39" t="s">
        <v>129</v>
      </c>
    </row>
    <row r="25" spans="1:21" ht="30" customHeight="1" x14ac:dyDescent="0.25">
      <c r="A25" s="33" t="s">
        <v>130</v>
      </c>
      <c r="B25" s="7" t="s">
        <v>64</v>
      </c>
      <c r="C25" s="8" t="s">
        <v>115</v>
      </c>
      <c r="D25" s="3" t="s">
        <v>8</v>
      </c>
      <c r="E25" s="7" t="s">
        <v>113</v>
      </c>
      <c r="F25" s="9">
        <v>44640</v>
      </c>
      <c r="G25" s="9">
        <v>45440</v>
      </c>
      <c r="H25" s="10">
        <f>VLOOKUP(D25,PARAMETROS!$A$6:$C$8,3,FALSE())</f>
        <v>730</v>
      </c>
      <c r="I25" s="11">
        <f t="shared" si="0"/>
        <v>46170</v>
      </c>
      <c r="J25" s="10">
        <f t="shared" ca="1" si="1"/>
        <v>71</v>
      </c>
      <c r="K25" s="12" t="str">
        <f t="shared" ca="1" si="2"/>
        <v>PRÓXIMO</v>
      </c>
      <c r="L25" s="13" t="s">
        <v>67</v>
      </c>
      <c r="M25" s="8" t="s">
        <v>68</v>
      </c>
      <c r="N25" s="7" t="s">
        <v>34</v>
      </c>
      <c r="O25" s="9">
        <v>46063</v>
      </c>
      <c r="P25" s="7" t="s">
        <v>69</v>
      </c>
      <c r="Q25" s="6" t="s">
        <v>75</v>
      </c>
      <c r="R25" s="8"/>
      <c r="S25" s="12" t="str">
        <f t="shared" ca="1" si="3"/>
        <v>NORMAL</v>
      </c>
      <c r="T25" s="8" t="s">
        <v>82</v>
      </c>
      <c r="U25" s="39" t="s">
        <v>131</v>
      </c>
    </row>
    <row r="26" spans="1:21" ht="30" customHeight="1" x14ac:dyDescent="0.25">
      <c r="A26" s="33" t="s">
        <v>132</v>
      </c>
      <c r="B26" s="7" t="s">
        <v>78</v>
      </c>
      <c r="C26" s="8" t="s">
        <v>119</v>
      </c>
      <c r="D26" s="3" t="s">
        <v>8</v>
      </c>
      <c r="E26" s="7" t="s">
        <v>113</v>
      </c>
      <c r="F26" s="9">
        <v>44722</v>
      </c>
      <c r="G26" s="9">
        <v>45458</v>
      </c>
      <c r="H26" s="10">
        <f>VLOOKUP(D26,PARAMETROS!$A$6:$C$8,3,FALSE())</f>
        <v>730</v>
      </c>
      <c r="I26" s="11">
        <f t="shared" si="0"/>
        <v>46188</v>
      </c>
      <c r="J26" s="10">
        <f t="shared" ca="1" si="1"/>
        <v>89</v>
      </c>
      <c r="K26" s="12" t="str">
        <f t="shared" ca="1" si="2"/>
        <v>PRÓXIMO</v>
      </c>
      <c r="L26" s="13" t="s">
        <v>67</v>
      </c>
      <c r="M26" s="8" t="s">
        <v>94</v>
      </c>
      <c r="N26" s="7" t="s">
        <v>34</v>
      </c>
      <c r="O26" s="9">
        <v>46037</v>
      </c>
      <c r="P26" s="7" t="s">
        <v>69</v>
      </c>
      <c r="Q26" s="6" t="s">
        <v>75</v>
      </c>
      <c r="R26" s="8"/>
      <c r="S26" s="12" t="str">
        <f t="shared" ca="1" si="3"/>
        <v>NORMAL</v>
      </c>
      <c r="T26" s="8" t="s">
        <v>91</v>
      </c>
      <c r="U26" s="39"/>
    </row>
    <row r="27" spans="1:21" ht="30" customHeight="1" x14ac:dyDescent="0.25">
      <c r="A27" s="33" t="s">
        <v>133</v>
      </c>
      <c r="B27" s="7" t="s">
        <v>64</v>
      </c>
      <c r="C27" s="8" t="s">
        <v>79</v>
      </c>
      <c r="D27" s="3" t="s">
        <v>8</v>
      </c>
      <c r="E27" s="7" t="s">
        <v>113</v>
      </c>
      <c r="F27" s="9">
        <v>44774</v>
      </c>
      <c r="G27" s="9">
        <v>45474</v>
      </c>
      <c r="H27" s="10">
        <f>VLOOKUP(D27,PARAMETROS!$A$6:$C$8,3,FALSE())</f>
        <v>730</v>
      </c>
      <c r="I27" s="11">
        <f t="shared" si="0"/>
        <v>46204</v>
      </c>
      <c r="J27" s="10">
        <f t="shared" ca="1" si="1"/>
        <v>105</v>
      </c>
      <c r="K27" s="12" t="str">
        <f t="shared" ca="1" si="2"/>
        <v>PRÓXIMO</v>
      </c>
      <c r="L27" s="13" t="s">
        <v>67</v>
      </c>
      <c r="M27" s="8" t="s">
        <v>68</v>
      </c>
      <c r="N27" s="7" t="s">
        <v>34</v>
      </c>
      <c r="O27" s="9">
        <v>46073</v>
      </c>
      <c r="P27" s="7" t="s">
        <v>69</v>
      </c>
      <c r="Q27" s="6" t="s">
        <v>75</v>
      </c>
      <c r="R27" s="8"/>
      <c r="S27" s="12" t="str">
        <f t="shared" ca="1" si="3"/>
        <v>NORMAL</v>
      </c>
      <c r="T27" s="8" t="s">
        <v>71</v>
      </c>
      <c r="U27" s="39"/>
    </row>
    <row r="28" spans="1:21" ht="30" customHeight="1" x14ac:dyDescent="0.25">
      <c r="A28" s="33" t="s">
        <v>134</v>
      </c>
      <c r="B28" s="7" t="s">
        <v>78</v>
      </c>
      <c r="C28" s="8" t="s">
        <v>108</v>
      </c>
      <c r="D28" s="3" t="s">
        <v>8</v>
      </c>
      <c r="E28" s="7" t="s">
        <v>113</v>
      </c>
      <c r="F28" s="9">
        <v>44849</v>
      </c>
      <c r="G28" s="9">
        <v>45493</v>
      </c>
      <c r="H28" s="10">
        <f>VLOOKUP(D28,PARAMETROS!$A$6:$C$8,3,FALSE())</f>
        <v>730</v>
      </c>
      <c r="I28" s="11">
        <f t="shared" si="0"/>
        <v>46223</v>
      </c>
      <c r="J28" s="10">
        <f t="shared" ca="1" si="1"/>
        <v>124</v>
      </c>
      <c r="K28" s="12" t="str">
        <f t="shared" ca="1" si="2"/>
        <v>PRÓXIMO</v>
      </c>
      <c r="L28" s="13" t="s">
        <v>67</v>
      </c>
      <c r="M28" s="8" t="s">
        <v>68</v>
      </c>
      <c r="N28" s="7" t="s">
        <v>34</v>
      </c>
      <c r="O28" s="9">
        <v>46068</v>
      </c>
      <c r="P28" s="7" t="s">
        <v>69</v>
      </c>
      <c r="Q28" s="6" t="s">
        <v>75</v>
      </c>
      <c r="R28" s="8"/>
      <c r="S28" s="12" t="str">
        <f t="shared" ca="1" si="3"/>
        <v>NORMAL</v>
      </c>
      <c r="T28" s="8" t="s">
        <v>76</v>
      </c>
      <c r="U28" s="39"/>
    </row>
    <row r="29" spans="1:21" ht="30" customHeight="1" x14ac:dyDescent="0.25">
      <c r="A29" s="33" t="s">
        <v>135</v>
      </c>
      <c r="B29" s="7" t="s">
        <v>64</v>
      </c>
      <c r="C29" s="8" t="s">
        <v>98</v>
      </c>
      <c r="D29" s="3" t="s">
        <v>8</v>
      </c>
      <c r="E29" s="7" t="s">
        <v>113</v>
      </c>
      <c r="F29" s="9">
        <v>44900</v>
      </c>
      <c r="G29" s="9">
        <v>45509</v>
      </c>
      <c r="H29" s="10">
        <f>VLOOKUP(D29,PARAMETROS!$A$6:$C$8,3,FALSE())</f>
        <v>730</v>
      </c>
      <c r="I29" s="11">
        <f t="shared" si="0"/>
        <v>46239</v>
      </c>
      <c r="J29" s="10">
        <f t="shared" ca="1" si="1"/>
        <v>140</v>
      </c>
      <c r="K29" s="12" t="str">
        <f t="shared" ca="1" si="2"/>
        <v>PRÓXIMO</v>
      </c>
      <c r="L29" s="13" t="s">
        <v>67</v>
      </c>
      <c r="M29" s="8" t="s">
        <v>68</v>
      </c>
      <c r="N29" s="7" t="s">
        <v>34</v>
      </c>
      <c r="O29" s="9">
        <v>46086</v>
      </c>
      <c r="P29" s="7" t="s">
        <v>69</v>
      </c>
      <c r="Q29" s="6" t="s">
        <v>75</v>
      </c>
      <c r="R29" s="8"/>
      <c r="S29" s="12" t="str">
        <f t="shared" ca="1" si="3"/>
        <v>NORMAL</v>
      </c>
      <c r="T29" s="8" t="s">
        <v>82</v>
      </c>
      <c r="U29" s="39"/>
    </row>
    <row r="30" spans="1:21" ht="30" customHeight="1" x14ac:dyDescent="0.25">
      <c r="A30" s="33" t="s">
        <v>136</v>
      </c>
      <c r="B30" s="7" t="s">
        <v>78</v>
      </c>
      <c r="C30" s="8" t="s">
        <v>74</v>
      </c>
      <c r="D30" s="3" t="s">
        <v>8</v>
      </c>
      <c r="E30" s="7" t="s">
        <v>113</v>
      </c>
      <c r="F30" s="9">
        <v>44510</v>
      </c>
      <c r="G30" s="9">
        <v>45383</v>
      </c>
      <c r="H30" s="10">
        <f>VLOOKUP(D30,PARAMETROS!$A$6:$C$8,3,FALSE())</f>
        <v>730</v>
      </c>
      <c r="I30" s="11">
        <f t="shared" si="0"/>
        <v>46113</v>
      </c>
      <c r="J30" s="10">
        <f t="shared" ca="1" si="1"/>
        <v>14</v>
      </c>
      <c r="K30" s="12" t="str">
        <f t="shared" ca="1" si="2"/>
        <v>CRÍTICO</v>
      </c>
      <c r="L30" s="13" t="s">
        <v>67</v>
      </c>
      <c r="M30" s="8" t="s">
        <v>87</v>
      </c>
      <c r="N30" s="7" t="s">
        <v>88</v>
      </c>
      <c r="O30" s="9">
        <v>46001</v>
      </c>
      <c r="P30" s="7" t="s">
        <v>69</v>
      </c>
      <c r="Q30" s="14" t="s">
        <v>34</v>
      </c>
      <c r="R30" s="8" t="s">
        <v>99</v>
      </c>
      <c r="S30" s="12" t="str">
        <f t="shared" ca="1" si="3"/>
        <v>ALTA</v>
      </c>
      <c r="T30" s="8" t="s">
        <v>91</v>
      </c>
      <c r="U30" s="39" t="s">
        <v>137</v>
      </c>
    </row>
    <row r="31" spans="1:21" ht="30" customHeight="1" x14ac:dyDescent="0.25">
      <c r="A31" s="33" t="s">
        <v>138</v>
      </c>
      <c r="B31" s="7" t="s">
        <v>64</v>
      </c>
      <c r="C31" s="8" t="s">
        <v>85</v>
      </c>
      <c r="D31" s="3" t="s">
        <v>8</v>
      </c>
      <c r="E31" s="7" t="s">
        <v>113</v>
      </c>
      <c r="F31" s="9">
        <v>44352</v>
      </c>
      <c r="G31" s="9">
        <v>45250</v>
      </c>
      <c r="H31" s="10">
        <f>VLOOKUP(D31,PARAMETROS!$A$6:$C$8,3,FALSE())</f>
        <v>730</v>
      </c>
      <c r="I31" s="11">
        <f t="shared" si="0"/>
        <v>45980</v>
      </c>
      <c r="J31" s="10">
        <f t="shared" ca="1" si="1"/>
        <v>-119</v>
      </c>
      <c r="K31" s="12" t="str">
        <f t="shared" ca="1" si="2"/>
        <v>VENCIDO</v>
      </c>
      <c r="L31" s="13" t="s">
        <v>67</v>
      </c>
      <c r="M31" s="8" t="s">
        <v>109</v>
      </c>
      <c r="N31" s="7" t="s">
        <v>75</v>
      </c>
      <c r="O31" s="9">
        <v>45823</v>
      </c>
      <c r="P31" s="7" t="s">
        <v>69</v>
      </c>
      <c r="Q31" s="14" t="s">
        <v>34</v>
      </c>
      <c r="R31" s="8" t="s">
        <v>105</v>
      </c>
      <c r="S31" s="12" t="str">
        <f t="shared" ca="1" si="3"/>
        <v>ALTA</v>
      </c>
      <c r="T31" s="8" t="s">
        <v>71</v>
      </c>
      <c r="U31" s="39" t="s">
        <v>139</v>
      </c>
    </row>
    <row r="32" spans="1:21" ht="30" customHeight="1" x14ac:dyDescent="0.25">
      <c r="A32" s="33" t="s">
        <v>140</v>
      </c>
      <c r="B32" s="7" t="s">
        <v>78</v>
      </c>
      <c r="C32" s="8" t="s">
        <v>112</v>
      </c>
      <c r="D32" s="4" t="s">
        <v>10</v>
      </c>
      <c r="E32" s="7" t="s">
        <v>141</v>
      </c>
      <c r="F32" s="9">
        <v>44409</v>
      </c>
      <c r="G32" s="9">
        <v>45189</v>
      </c>
      <c r="H32" s="10">
        <f>VLOOKUP(D32,PARAMETROS!$A$6:$C$8,3,FALSE())</f>
        <v>1095</v>
      </c>
      <c r="I32" s="11">
        <f t="shared" si="0"/>
        <v>46284</v>
      </c>
      <c r="J32" s="10">
        <f t="shared" ca="1" si="1"/>
        <v>185</v>
      </c>
      <c r="K32" s="12" t="str">
        <f t="shared" ca="1" si="2"/>
        <v>AL DÍA</v>
      </c>
      <c r="L32" s="13" t="s">
        <v>67</v>
      </c>
      <c r="M32" s="8" t="s">
        <v>68</v>
      </c>
      <c r="N32" s="7" t="s">
        <v>34</v>
      </c>
      <c r="O32" s="9">
        <v>46091</v>
      </c>
      <c r="P32" s="7" t="s">
        <v>69</v>
      </c>
      <c r="Q32" s="6" t="s">
        <v>75</v>
      </c>
      <c r="R32" s="8"/>
      <c r="S32" s="12" t="str">
        <f t="shared" ca="1" si="3"/>
        <v>NORMAL</v>
      </c>
      <c r="T32" s="8" t="s">
        <v>76</v>
      </c>
      <c r="U32" s="39"/>
    </row>
    <row r="33" spans="1:21" ht="30" customHeight="1" x14ac:dyDescent="0.25">
      <c r="A33" s="33" t="s">
        <v>142</v>
      </c>
      <c r="B33" s="7" t="s">
        <v>64</v>
      </c>
      <c r="C33" s="8" t="s">
        <v>115</v>
      </c>
      <c r="D33" s="4" t="s">
        <v>10</v>
      </c>
      <c r="E33" s="7" t="s">
        <v>141</v>
      </c>
      <c r="F33" s="9">
        <v>44484</v>
      </c>
      <c r="G33" s="9">
        <v>45214</v>
      </c>
      <c r="H33" s="10">
        <f>VLOOKUP(D33,PARAMETROS!$A$6:$C$8,3,FALSE())</f>
        <v>1095</v>
      </c>
      <c r="I33" s="11">
        <f t="shared" si="0"/>
        <v>46309</v>
      </c>
      <c r="J33" s="10">
        <f t="shared" ca="1" si="1"/>
        <v>210</v>
      </c>
      <c r="K33" s="12" t="str">
        <f t="shared" ca="1" si="2"/>
        <v>AL DÍA</v>
      </c>
      <c r="L33" s="13" t="s">
        <v>67</v>
      </c>
      <c r="M33" s="8" t="s">
        <v>68</v>
      </c>
      <c r="N33" s="7" t="s">
        <v>34</v>
      </c>
      <c r="O33" s="9">
        <v>46073</v>
      </c>
      <c r="P33" s="7" t="s">
        <v>69</v>
      </c>
      <c r="Q33" s="6" t="s">
        <v>75</v>
      </c>
      <c r="R33" s="8"/>
      <c r="S33" s="12" t="str">
        <f t="shared" ca="1" si="3"/>
        <v>NORMAL</v>
      </c>
      <c r="T33" s="8" t="s">
        <v>82</v>
      </c>
      <c r="U33" s="39"/>
    </row>
    <row r="34" spans="1:21" ht="30" customHeight="1" x14ac:dyDescent="0.25">
      <c r="A34" s="33" t="s">
        <v>143</v>
      </c>
      <c r="B34" s="7" t="s">
        <v>78</v>
      </c>
      <c r="C34" s="8" t="s">
        <v>117</v>
      </c>
      <c r="D34" s="4" t="s">
        <v>10</v>
      </c>
      <c r="E34" s="7" t="s">
        <v>141</v>
      </c>
      <c r="F34" s="9">
        <v>44612</v>
      </c>
      <c r="G34" s="9">
        <v>45231</v>
      </c>
      <c r="H34" s="10">
        <f>VLOOKUP(D34,PARAMETROS!$A$6:$C$8,3,FALSE())</f>
        <v>1095</v>
      </c>
      <c r="I34" s="11">
        <f t="shared" ref="I34:I51" si="4">G34+H34</f>
        <v>46326</v>
      </c>
      <c r="J34" s="10">
        <f t="shared" ref="J34:J51" ca="1" si="5">I34-TODAY()</f>
        <v>227</v>
      </c>
      <c r="K34" s="12" t="str">
        <f t="shared" ref="K34:K51" ca="1" si="6">IF(J34&lt;0,"VENCIDO",IF(J34&lt;30,"CRÍTICO",IF(J34&lt;180,"PRÓXIMO","AL DÍA")))</f>
        <v>AL DÍA</v>
      </c>
      <c r="L34" s="13" t="s">
        <v>67</v>
      </c>
      <c r="M34" s="8" t="s">
        <v>68</v>
      </c>
      <c r="N34" s="7" t="s">
        <v>34</v>
      </c>
      <c r="O34" s="9">
        <v>46086</v>
      </c>
      <c r="P34" s="7" t="s">
        <v>69</v>
      </c>
      <c r="Q34" s="6" t="s">
        <v>75</v>
      </c>
      <c r="R34" s="8"/>
      <c r="S34" s="12" t="str">
        <f t="shared" ref="S34:S51" ca="1" si="7">IF(AND(D34="ALTO",OR(K34="VENCIDO",K34="CRÍTICO")),"URGENTE",IF(D34="ALTO","ALTA",IF(OR(K34="VENCIDO",K34="CRÍTICO"),"ALTA","NORMAL")))</f>
        <v>NORMAL</v>
      </c>
      <c r="T34" s="8" t="s">
        <v>91</v>
      </c>
      <c r="U34" s="39"/>
    </row>
    <row r="35" spans="1:21" ht="30" customHeight="1" x14ac:dyDescent="0.25">
      <c r="A35" s="33" t="s">
        <v>144</v>
      </c>
      <c r="B35" s="7" t="s">
        <v>64</v>
      </c>
      <c r="C35" s="8" t="s">
        <v>119</v>
      </c>
      <c r="D35" s="4" t="s">
        <v>10</v>
      </c>
      <c r="E35" s="7" t="s">
        <v>141</v>
      </c>
      <c r="F35" s="9">
        <v>44444</v>
      </c>
      <c r="G35" s="9">
        <v>45270</v>
      </c>
      <c r="H35" s="10">
        <f>VLOOKUP(D35,PARAMETROS!$A$6:$C$8,3,FALSE())</f>
        <v>1095</v>
      </c>
      <c r="I35" s="11">
        <f t="shared" si="4"/>
        <v>46365</v>
      </c>
      <c r="J35" s="10">
        <f t="shared" ca="1" si="5"/>
        <v>266</v>
      </c>
      <c r="K35" s="12" t="str">
        <f t="shared" ca="1" si="6"/>
        <v>AL DÍA</v>
      </c>
      <c r="L35" s="13" t="s">
        <v>67</v>
      </c>
      <c r="M35" s="8" t="s">
        <v>68</v>
      </c>
      <c r="N35" s="7" t="s">
        <v>34</v>
      </c>
      <c r="O35" s="9">
        <v>46081</v>
      </c>
      <c r="P35" s="7" t="s">
        <v>69</v>
      </c>
      <c r="Q35" s="6" t="s">
        <v>75</v>
      </c>
      <c r="R35" s="8"/>
      <c r="S35" s="12" t="str">
        <f t="shared" ca="1" si="7"/>
        <v>NORMAL</v>
      </c>
      <c r="T35" s="8" t="s">
        <v>71</v>
      </c>
      <c r="U35" s="39"/>
    </row>
    <row r="36" spans="1:21" ht="30" customHeight="1" x14ac:dyDescent="0.25">
      <c r="A36" s="33" t="s">
        <v>145</v>
      </c>
      <c r="B36" s="7" t="s">
        <v>78</v>
      </c>
      <c r="C36" s="8" t="s">
        <v>79</v>
      </c>
      <c r="D36" s="4" t="s">
        <v>10</v>
      </c>
      <c r="E36" s="7" t="s">
        <v>141</v>
      </c>
      <c r="F36" s="9">
        <v>44661</v>
      </c>
      <c r="G36" s="9">
        <v>45306</v>
      </c>
      <c r="H36" s="10">
        <f>VLOOKUP(D36,PARAMETROS!$A$6:$C$8,3,FALSE())</f>
        <v>1095</v>
      </c>
      <c r="I36" s="11">
        <f t="shared" si="4"/>
        <v>46401</v>
      </c>
      <c r="J36" s="10">
        <f t="shared" ca="1" si="5"/>
        <v>302</v>
      </c>
      <c r="K36" s="12" t="str">
        <f t="shared" ca="1" si="6"/>
        <v>AL DÍA</v>
      </c>
      <c r="L36" s="13" t="s">
        <v>67</v>
      </c>
      <c r="M36" s="8" t="s">
        <v>68</v>
      </c>
      <c r="N36" s="7" t="s">
        <v>34</v>
      </c>
      <c r="O36" s="9">
        <v>46091</v>
      </c>
      <c r="P36" s="7" t="s">
        <v>69</v>
      </c>
      <c r="Q36" s="6" t="s">
        <v>75</v>
      </c>
      <c r="R36" s="8"/>
      <c r="S36" s="12" t="str">
        <f t="shared" ca="1" si="7"/>
        <v>NORMAL</v>
      </c>
      <c r="T36" s="8" t="s">
        <v>76</v>
      </c>
      <c r="U36" s="39"/>
    </row>
    <row r="37" spans="1:21" ht="30" customHeight="1" x14ac:dyDescent="0.25">
      <c r="A37" s="33" t="s">
        <v>146</v>
      </c>
      <c r="B37" s="7" t="s">
        <v>64</v>
      </c>
      <c r="C37" s="8" t="s">
        <v>108</v>
      </c>
      <c r="D37" s="4" t="s">
        <v>10</v>
      </c>
      <c r="E37" s="7" t="s">
        <v>141</v>
      </c>
      <c r="F37" s="9">
        <v>44397</v>
      </c>
      <c r="G37" s="9">
        <v>45342</v>
      </c>
      <c r="H37" s="10">
        <f>VLOOKUP(D37,PARAMETROS!$A$6:$C$8,3,FALSE())</f>
        <v>1095</v>
      </c>
      <c r="I37" s="11">
        <f t="shared" si="4"/>
        <v>46437</v>
      </c>
      <c r="J37" s="10">
        <f t="shared" ca="1" si="5"/>
        <v>338</v>
      </c>
      <c r="K37" s="12" t="str">
        <f t="shared" ca="1" si="6"/>
        <v>AL DÍA</v>
      </c>
      <c r="L37" s="13" t="s">
        <v>67</v>
      </c>
      <c r="M37" s="8" t="s">
        <v>68</v>
      </c>
      <c r="N37" s="7" t="s">
        <v>34</v>
      </c>
      <c r="O37" s="9">
        <v>46082</v>
      </c>
      <c r="P37" s="7" t="s">
        <v>69</v>
      </c>
      <c r="Q37" s="6" t="s">
        <v>75</v>
      </c>
      <c r="R37" s="8"/>
      <c r="S37" s="12" t="str">
        <f t="shared" ca="1" si="7"/>
        <v>NORMAL</v>
      </c>
      <c r="T37" s="8" t="s">
        <v>82</v>
      </c>
      <c r="U37" s="39"/>
    </row>
    <row r="38" spans="1:21" ht="30" customHeight="1" x14ac:dyDescent="0.25">
      <c r="A38" s="33" t="s">
        <v>147</v>
      </c>
      <c r="B38" s="7" t="s">
        <v>78</v>
      </c>
      <c r="C38" s="8" t="s">
        <v>98</v>
      </c>
      <c r="D38" s="4" t="s">
        <v>10</v>
      </c>
      <c r="E38" s="7" t="s">
        <v>141</v>
      </c>
      <c r="F38" s="9">
        <v>44696</v>
      </c>
      <c r="G38" s="9">
        <v>45376</v>
      </c>
      <c r="H38" s="10">
        <f>VLOOKUP(D38,PARAMETROS!$A$6:$C$8,3,FALSE())</f>
        <v>1095</v>
      </c>
      <c r="I38" s="11">
        <f t="shared" si="4"/>
        <v>46471</v>
      </c>
      <c r="J38" s="10">
        <f t="shared" ca="1" si="5"/>
        <v>372</v>
      </c>
      <c r="K38" s="12" t="str">
        <f t="shared" ca="1" si="6"/>
        <v>AL DÍA</v>
      </c>
      <c r="L38" s="13" t="s">
        <v>67</v>
      </c>
      <c r="M38" s="8" t="s">
        <v>68</v>
      </c>
      <c r="N38" s="7" t="s">
        <v>34</v>
      </c>
      <c r="O38" s="9">
        <v>46078</v>
      </c>
      <c r="P38" s="7" t="s">
        <v>69</v>
      </c>
      <c r="Q38" s="6" t="s">
        <v>75</v>
      </c>
      <c r="R38" s="8"/>
      <c r="S38" s="12" t="str">
        <f t="shared" ca="1" si="7"/>
        <v>NORMAL</v>
      </c>
      <c r="T38" s="8" t="s">
        <v>91</v>
      </c>
      <c r="U38" s="39"/>
    </row>
    <row r="39" spans="1:21" ht="30" customHeight="1" x14ac:dyDescent="0.25">
      <c r="A39" s="33" t="s">
        <v>148</v>
      </c>
      <c r="B39" s="7" t="s">
        <v>64</v>
      </c>
      <c r="C39" s="8" t="s">
        <v>112</v>
      </c>
      <c r="D39" s="4" t="s">
        <v>10</v>
      </c>
      <c r="E39" s="7" t="s">
        <v>141</v>
      </c>
      <c r="F39" s="9">
        <v>44571</v>
      </c>
      <c r="G39" s="9">
        <v>45422</v>
      </c>
      <c r="H39" s="10">
        <f>VLOOKUP(D39,PARAMETROS!$A$6:$C$8,3,FALSE())</f>
        <v>1095</v>
      </c>
      <c r="I39" s="11">
        <f t="shared" si="4"/>
        <v>46517</v>
      </c>
      <c r="J39" s="10">
        <f t="shared" ca="1" si="5"/>
        <v>418</v>
      </c>
      <c r="K39" s="12" t="str">
        <f t="shared" ca="1" si="6"/>
        <v>AL DÍA</v>
      </c>
      <c r="L39" s="13" t="s">
        <v>67</v>
      </c>
      <c r="M39" s="8" t="s">
        <v>68</v>
      </c>
      <c r="N39" s="7" t="s">
        <v>34</v>
      </c>
      <c r="O39" s="9">
        <v>46086</v>
      </c>
      <c r="P39" s="7" t="s">
        <v>69</v>
      </c>
      <c r="Q39" s="6" t="s">
        <v>75</v>
      </c>
      <c r="R39" s="8"/>
      <c r="S39" s="12" t="str">
        <f t="shared" ca="1" si="7"/>
        <v>NORMAL</v>
      </c>
      <c r="T39" s="8" t="s">
        <v>71</v>
      </c>
      <c r="U39" s="39"/>
    </row>
    <row r="40" spans="1:21" ht="30" customHeight="1" x14ac:dyDescent="0.25">
      <c r="A40" s="33" t="s">
        <v>149</v>
      </c>
      <c r="B40" s="7" t="s">
        <v>78</v>
      </c>
      <c r="C40" s="8" t="s">
        <v>115</v>
      </c>
      <c r="D40" s="4" t="s">
        <v>10</v>
      </c>
      <c r="E40" s="7" t="s">
        <v>141</v>
      </c>
      <c r="F40" s="9">
        <v>44767</v>
      </c>
      <c r="G40" s="9">
        <v>45458</v>
      </c>
      <c r="H40" s="10">
        <f>VLOOKUP(D40,PARAMETROS!$A$6:$C$8,3,FALSE())</f>
        <v>1095</v>
      </c>
      <c r="I40" s="11">
        <f t="shared" si="4"/>
        <v>46553</v>
      </c>
      <c r="J40" s="10">
        <f t="shared" ca="1" si="5"/>
        <v>454</v>
      </c>
      <c r="K40" s="12" t="str">
        <f t="shared" ca="1" si="6"/>
        <v>AL DÍA</v>
      </c>
      <c r="L40" s="13" t="s">
        <v>67</v>
      </c>
      <c r="M40" s="8" t="s">
        <v>68</v>
      </c>
      <c r="N40" s="7" t="s">
        <v>34</v>
      </c>
      <c r="O40" s="9">
        <v>46073</v>
      </c>
      <c r="P40" s="7" t="s">
        <v>69</v>
      </c>
      <c r="Q40" s="6" t="s">
        <v>75</v>
      </c>
      <c r="R40" s="8"/>
      <c r="S40" s="12" t="str">
        <f t="shared" ca="1" si="7"/>
        <v>NORMAL</v>
      </c>
      <c r="T40" s="8" t="s">
        <v>76</v>
      </c>
      <c r="U40" s="39"/>
    </row>
    <row r="41" spans="1:21" ht="30" customHeight="1" x14ac:dyDescent="0.25">
      <c r="A41" s="33" t="s">
        <v>150</v>
      </c>
      <c r="B41" s="7" t="s">
        <v>64</v>
      </c>
      <c r="C41" s="8" t="s">
        <v>117</v>
      </c>
      <c r="D41" s="4" t="s">
        <v>10</v>
      </c>
      <c r="E41" s="7" t="s">
        <v>141</v>
      </c>
      <c r="F41" s="9">
        <v>44625</v>
      </c>
      <c r="G41" s="9">
        <v>45493</v>
      </c>
      <c r="H41" s="10">
        <f>VLOOKUP(D41,PARAMETROS!$A$6:$C$8,3,FALSE())</f>
        <v>1095</v>
      </c>
      <c r="I41" s="11">
        <f t="shared" si="4"/>
        <v>46588</v>
      </c>
      <c r="J41" s="10">
        <f t="shared" ca="1" si="5"/>
        <v>489</v>
      </c>
      <c r="K41" s="12" t="str">
        <f t="shared" ca="1" si="6"/>
        <v>AL DÍA</v>
      </c>
      <c r="L41" s="13" t="s">
        <v>67</v>
      </c>
      <c r="M41" s="8" t="s">
        <v>68</v>
      </c>
      <c r="N41" s="7" t="s">
        <v>34</v>
      </c>
      <c r="O41" s="9">
        <v>46091</v>
      </c>
      <c r="P41" s="7" t="s">
        <v>69</v>
      </c>
      <c r="Q41" s="6" t="s">
        <v>75</v>
      </c>
      <c r="R41" s="8"/>
      <c r="S41" s="12" t="str">
        <f t="shared" ca="1" si="7"/>
        <v>NORMAL</v>
      </c>
      <c r="T41" s="8" t="s">
        <v>82</v>
      </c>
      <c r="U41" s="39"/>
    </row>
    <row r="42" spans="1:21" ht="30" customHeight="1" x14ac:dyDescent="0.25">
      <c r="A42" s="33" t="s">
        <v>151</v>
      </c>
      <c r="B42" s="7" t="s">
        <v>78</v>
      </c>
      <c r="C42" s="8" t="s">
        <v>119</v>
      </c>
      <c r="D42" s="4" t="s">
        <v>10</v>
      </c>
      <c r="E42" s="7" t="s">
        <v>141</v>
      </c>
      <c r="F42" s="9">
        <v>44805</v>
      </c>
      <c r="G42" s="9">
        <v>45540</v>
      </c>
      <c r="H42" s="10">
        <f>VLOOKUP(D42,PARAMETROS!$A$6:$C$8,3,FALSE())</f>
        <v>1095</v>
      </c>
      <c r="I42" s="11">
        <f t="shared" si="4"/>
        <v>46635</v>
      </c>
      <c r="J42" s="10">
        <f t="shared" ca="1" si="5"/>
        <v>536</v>
      </c>
      <c r="K42" s="12" t="str">
        <f t="shared" ca="1" si="6"/>
        <v>AL DÍA</v>
      </c>
      <c r="L42" s="13" t="s">
        <v>67</v>
      </c>
      <c r="M42" s="8" t="s">
        <v>68</v>
      </c>
      <c r="N42" s="7" t="s">
        <v>34</v>
      </c>
      <c r="O42" s="9">
        <v>46082</v>
      </c>
      <c r="P42" s="7" t="s">
        <v>69</v>
      </c>
      <c r="Q42" s="6" t="s">
        <v>75</v>
      </c>
      <c r="R42" s="8"/>
      <c r="S42" s="12" t="str">
        <f t="shared" ca="1" si="7"/>
        <v>NORMAL</v>
      </c>
      <c r="T42" s="8" t="s">
        <v>91</v>
      </c>
      <c r="U42" s="39"/>
    </row>
    <row r="43" spans="1:21" ht="30" customHeight="1" x14ac:dyDescent="0.25">
      <c r="A43" s="33" t="s">
        <v>152</v>
      </c>
      <c r="B43" s="7" t="s">
        <v>64</v>
      </c>
      <c r="C43" s="8" t="s">
        <v>74</v>
      </c>
      <c r="D43" s="4" t="s">
        <v>10</v>
      </c>
      <c r="E43" s="7" t="s">
        <v>141</v>
      </c>
      <c r="F43" s="9">
        <v>44722</v>
      </c>
      <c r="G43" s="9">
        <v>45611</v>
      </c>
      <c r="H43" s="10">
        <f>VLOOKUP(D43,PARAMETROS!$A$6:$C$8,3,FALSE())</f>
        <v>1095</v>
      </c>
      <c r="I43" s="11">
        <f t="shared" si="4"/>
        <v>46706</v>
      </c>
      <c r="J43" s="10">
        <f t="shared" ca="1" si="5"/>
        <v>607</v>
      </c>
      <c r="K43" s="12" t="str">
        <f t="shared" ca="1" si="6"/>
        <v>AL DÍA</v>
      </c>
      <c r="L43" s="13" t="s">
        <v>67</v>
      </c>
      <c r="M43" s="8" t="s">
        <v>68</v>
      </c>
      <c r="N43" s="7" t="s">
        <v>34</v>
      </c>
      <c r="O43" s="9">
        <v>46068</v>
      </c>
      <c r="P43" s="7" t="s">
        <v>69</v>
      </c>
      <c r="Q43" s="6" t="s">
        <v>75</v>
      </c>
      <c r="R43" s="8"/>
      <c r="S43" s="12" t="str">
        <f t="shared" ca="1" si="7"/>
        <v>NORMAL</v>
      </c>
      <c r="T43" s="8" t="s">
        <v>71</v>
      </c>
      <c r="U43" s="39"/>
    </row>
    <row r="44" spans="1:21" ht="30" customHeight="1" x14ac:dyDescent="0.25">
      <c r="A44" s="33" t="s">
        <v>153</v>
      </c>
      <c r="B44" s="7" t="s">
        <v>78</v>
      </c>
      <c r="C44" s="8" t="s">
        <v>65</v>
      </c>
      <c r="D44" s="4" t="s">
        <v>10</v>
      </c>
      <c r="E44" s="7" t="s">
        <v>141</v>
      </c>
      <c r="F44" s="9">
        <v>44962</v>
      </c>
      <c r="G44" s="9">
        <v>45667</v>
      </c>
      <c r="H44" s="10">
        <f>VLOOKUP(D44,PARAMETROS!$A$6:$C$8,3,FALSE())</f>
        <v>1095</v>
      </c>
      <c r="I44" s="11">
        <f t="shared" si="4"/>
        <v>46762</v>
      </c>
      <c r="J44" s="10">
        <f t="shared" ca="1" si="5"/>
        <v>663</v>
      </c>
      <c r="K44" s="12" t="str">
        <f t="shared" ca="1" si="6"/>
        <v>AL DÍA</v>
      </c>
      <c r="L44" s="13" t="s">
        <v>67</v>
      </c>
      <c r="M44" s="8" t="s">
        <v>68</v>
      </c>
      <c r="N44" s="7" t="s">
        <v>34</v>
      </c>
      <c r="O44" s="9">
        <v>46086</v>
      </c>
      <c r="P44" s="7" t="s">
        <v>69</v>
      </c>
      <c r="Q44" s="6" t="s">
        <v>75</v>
      </c>
      <c r="R44" s="8"/>
      <c r="S44" s="12" t="str">
        <f t="shared" ca="1" si="7"/>
        <v>NORMAL</v>
      </c>
      <c r="T44" s="8" t="s">
        <v>76</v>
      </c>
      <c r="U44" s="39"/>
    </row>
    <row r="45" spans="1:21" ht="30" customHeight="1" x14ac:dyDescent="0.25">
      <c r="A45" s="33" t="s">
        <v>154</v>
      </c>
      <c r="B45" s="7" t="s">
        <v>64</v>
      </c>
      <c r="C45" s="8" t="s">
        <v>79</v>
      </c>
      <c r="D45" s="4" t="s">
        <v>10</v>
      </c>
      <c r="E45" s="7" t="s">
        <v>141</v>
      </c>
      <c r="F45" s="9">
        <v>45066</v>
      </c>
      <c r="G45" s="9">
        <v>45767</v>
      </c>
      <c r="H45" s="10">
        <f>VLOOKUP(D45,PARAMETROS!$A$6:$C$8,3,FALSE())</f>
        <v>1095</v>
      </c>
      <c r="I45" s="11">
        <f t="shared" si="4"/>
        <v>46862</v>
      </c>
      <c r="J45" s="10">
        <f t="shared" ca="1" si="5"/>
        <v>763</v>
      </c>
      <c r="K45" s="12" t="str">
        <f t="shared" ca="1" si="6"/>
        <v>AL DÍA</v>
      </c>
      <c r="L45" s="13" t="s">
        <v>67</v>
      </c>
      <c r="M45" s="8" t="s">
        <v>68</v>
      </c>
      <c r="N45" s="7" t="s">
        <v>34</v>
      </c>
      <c r="O45" s="9">
        <v>46091</v>
      </c>
      <c r="P45" s="7" t="s">
        <v>69</v>
      </c>
      <c r="Q45" s="6" t="s">
        <v>75</v>
      </c>
      <c r="R45" s="8"/>
      <c r="S45" s="12" t="str">
        <f t="shared" ca="1" si="7"/>
        <v>NORMAL</v>
      </c>
      <c r="T45" s="8" t="s">
        <v>82</v>
      </c>
      <c r="U45" s="39"/>
    </row>
    <row r="46" spans="1:21" ht="30" customHeight="1" x14ac:dyDescent="0.25">
      <c r="A46" s="33" t="s">
        <v>155</v>
      </c>
      <c r="B46" s="7" t="s">
        <v>78</v>
      </c>
      <c r="C46" s="8" t="s">
        <v>85</v>
      </c>
      <c r="D46" s="4" t="s">
        <v>10</v>
      </c>
      <c r="E46" s="7" t="s">
        <v>141</v>
      </c>
      <c r="F46" s="9">
        <v>44145</v>
      </c>
      <c r="G46" s="9">
        <v>45056</v>
      </c>
      <c r="H46" s="10">
        <f>VLOOKUP(D46,PARAMETROS!$A$6:$C$8,3,FALSE())</f>
        <v>1095</v>
      </c>
      <c r="I46" s="11">
        <f t="shared" si="4"/>
        <v>46151</v>
      </c>
      <c r="J46" s="10">
        <f t="shared" ca="1" si="5"/>
        <v>52</v>
      </c>
      <c r="K46" s="12" t="str">
        <f t="shared" ca="1" si="6"/>
        <v>PRÓXIMO</v>
      </c>
      <c r="L46" s="13" t="s">
        <v>67</v>
      </c>
      <c r="M46" s="8" t="s">
        <v>94</v>
      </c>
      <c r="N46" s="7" t="s">
        <v>34</v>
      </c>
      <c r="O46" s="9">
        <v>45996</v>
      </c>
      <c r="P46" s="7" t="s">
        <v>69</v>
      </c>
      <c r="Q46" s="6" t="s">
        <v>75</v>
      </c>
      <c r="R46" s="8"/>
      <c r="S46" s="12" t="str">
        <f t="shared" ca="1" si="7"/>
        <v>NORMAL</v>
      </c>
      <c r="T46" s="8" t="s">
        <v>91</v>
      </c>
      <c r="U46" s="39" t="s">
        <v>156</v>
      </c>
    </row>
    <row r="47" spans="1:21" ht="30" customHeight="1" x14ac:dyDescent="0.25">
      <c r="A47" s="33" t="s">
        <v>157</v>
      </c>
      <c r="B47" s="7" t="s">
        <v>64</v>
      </c>
      <c r="C47" s="8" t="s">
        <v>112</v>
      </c>
      <c r="D47" s="4" t="s">
        <v>10</v>
      </c>
      <c r="E47" s="7" t="s">
        <v>141</v>
      </c>
      <c r="F47" s="9">
        <v>44075</v>
      </c>
      <c r="G47" s="9">
        <v>45097</v>
      </c>
      <c r="H47" s="10">
        <f>VLOOKUP(D47,PARAMETROS!$A$6:$C$8,3,FALSE())</f>
        <v>1095</v>
      </c>
      <c r="I47" s="11">
        <f t="shared" si="4"/>
        <v>46192</v>
      </c>
      <c r="J47" s="10">
        <f t="shared" ca="1" si="5"/>
        <v>93</v>
      </c>
      <c r="K47" s="12" t="str">
        <f t="shared" ca="1" si="6"/>
        <v>PRÓXIMO</v>
      </c>
      <c r="L47" s="13" t="s">
        <v>67</v>
      </c>
      <c r="M47" s="8" t="s">
        <v>68</v>
      </c>
      <c r="N47" s="7" t="s">
        <v>34</v>
      </c>
      <c r="O47" s="9">
        <v>46032</v>
      </c>
      <c r="P47" s="7" t="s">
        <v>69</v>
      </c>
      <c r="Q47" s="6" t="s">
        <v>75</v>
      </c>
      <c r="R47" s="8"/>
      <c r="S47" s="12" t="str">
        <f t="shared" ca="1" si="7"/>
        <v>NORMAL</v>
      </c>
      <c r="T47" s="8" t="s">
        <v>71</v>
      </c>
      <c r="U47" s="39"/>
    </row>
    <row r="48" spans="1:21" ht="30" customHeight="1" x14ac:dyDescent="0.25">
      <c r="A48" s="33" t="s">
        <v>158</v>
      </c>
      <c r="B48" s="7" t="s">
        <v>78</v>
      </c>
      <c r="C48" s="8" t="s">
        <v>108</v>
      </c>
      <c r="D48" s="4" t="s">
        <v>10</v>
      </c>
      <c r="E48" s="7" t="s">
        <v>141</v>
      </c>
      <c r="F48" s="9">
        <v>44211</v>
      </c>
      <c r="G48" s="9">
        <v>45122</v>
      </c>
      <c r="H48" s="10">
        <f>VLOOKUP(D48,PARAMETROS!$A$6:$C$8,3,FALSE())</f>
        <v>1095</v>
      </c>
      <c r="I48" s="11">
        <f t="shared" si="4"/>
        <v>46217</v>
      </c>
      <c r="J48" s="10">
        <f t="shared" ca="1" si="5"/>
        <v>118</v>
      </c>
      <c r="K48" s="12" t="str">
        <f t="shared" ca="1" si="6"/>
        <v>PRÓXIMO</v>
      </c>
      <c r="L48" s="13" t="s">
        <v>67</v>
      </c>
      <c r="M48" s="8" t="s">
        <v>68</v>
      </c>
      <c r="N48" s="7" t="s">
        <v>34</v>
      </c>
      <c r="O48" s="9">
        <v>46063</v>
      </c>
      <c r="P48" s="7" t="s">
        <v>69</v>
      </c>
      <c r="Q48" s="6" t="s">
        <v>75</v>
      </c>
      <c r="R48" s="8"/>
      <c r="S48" s="12" t="str">
        <f t="shared" ca="1" si="7"/>
        <v>NORMAL</v>
      </c>
      <c r="T48" s="8" t="s">
        <v>76</v>
      </c>
      <c r="U48" s="39"/>
    </row>
    <row r="49" spans="1:21" ht="30" customHeight="1" x14ac:dyDescent="0.25">
      <c r="A49" s="33" t="s">
        <v>159</v>
      </c>
      <c r="B49" s="7" t="s">
        <v>64</v>
      </c>
      <c r="C49" s="8" t="s">
        <v>115</v>
      </c>
      <c r="D49" s="4" t="s">
        <v>10</v>
      </c>
      <c r="E49" s="7" t="s">
        <v>141</v>
      </c>
      <c r="F49" s="9">
        <v>44275</v>
      </c>
      <c r="G49" s="9">
        <v>45163</v>
      </c>
      <c r="H49" s="10">
        <f>VLOOKUP(D49,PARAMETROS!$A$6:$C$8,3,FALSE())</f>
        <v>1095</v>
      </c>
      <c r="I49" s="11">
        <f t="shared" si="4"/>
        <v>46258</v>
      </c>
      <c r="J49" s="10">
        <f t="shared" ca="1" si="5"/>
        <v>159</v>
      </c>
      <c r="K49" s="12" t="str">
        <f t="shared" ca="1" si="6"/>
        <v>PRÓXIMO</v>
      </c>
      <c r="L49" s="13" t="s">
        <v>67</v>
      </c>
      <c r="M49" s="8" t="s">
        <v>80</v>
      </c>
      <c r="N49" s="7" t="s">
        <v>34</v>
      </c>
      <c r="O49" s="9">
        <v>46042</v>
      </c>
      <c r="P49" s="7" t="s">
        <v>69</v>
      </c>
      <c r="Q49" s="6" t="s">
        <v>75</v>
      </c>
      <c r="R49" s="8"/>
      <c r="S49" s="12" t="str">
        <f t="shared" ca="1" si="7"/>
        <v>NORMAL</v>
      </c>
      <c r="T49" s="8" t="s">
        <v>82</v>
      </c>
      <c r="U49" s="39"/>
    </row>
    <row r="50" spans="1:21" ht="30" customHeight="1" x14ac:dyDescent="0.25">
      <c r="A50" s="33" t="s">
        <v>160</v>
      </c>
      <c r="B50" s="7" t="s">
        <v>78</v>
      </c>
      <c r="C50" s="8" t="s">
        <v>98</v>
      </c>
      <c r="D50" s="4" t="s">
        <v>10</v>
      </c>
      <c r="E50" s="7" t="s">
        <v>141</v>
      </c>
      <c r="F50" s="9">
        <v>43922</v>
      </c>
      <c r="G50" s="9">
        <v>45017</v>
      </c>
      <c r="H50" s="10">
        <f>VLOOKUP(D50,PARAMETROS!$A$6:$C$8,3,FALSE())</f>
        <v>1095</v>
      </c>
      <c r="I50" s="11">
        <f t="shared" si="4"/>
        <v>46112</v>
      </c>
      <c r="J50" s="10">
        <f t="shared" ca="1" si="5"/>
        <v>13</v>
      </c>
      <c r="K50" s="12" t="str">
        <f t="shared" ca="1" si="6"/>
        <v>CRÍTICO</v>
      </c>
      <c r="L50" s="13" t="s">
        <v>67</v>
      </c>
      <c r="M50" s="8" t="s">
        <v>87</v>
      </c>
      <c r="N50" s="7" t="s">
        <v>88</v>
      </c>
      <c r="O50" s="9">
        <v>45945</v>
      </c>
      <c r="P50" s="7" t="s">
        <v>69</v>
      </c>
      <c r="Q50" s="14" t="s">
        <v>34</v>
      </c>
      <c r="R50" s="8" t="s">
        <v>95</v>
      </c>
      <c r="S50" s="12" t="str">
        <f t="shared" ca="1" si="7"/>
        <v>ALTA</v>
      </c>
      <c r="T50" s="8" t="s">
        <v>91</v>
      </c>
      <c r="U50" s="39" t="s">
        <v>161</v>
      </c>
    </row>
    <row r="51" spans="1:21" ht="30" customHeight="1" x14ac:dyDescent="0.25">
      <c r="A51" s="35" t="s">
        <v>162</v>
      </c>
      <c r="B51" s="27" t="s">
        <v>64</v>
      </c>
      <c r="C51" s="36" t="s">
        <v>74</v>
      </c>
      <c r="D51" s="43" t="s">
        <v>10</v>
      </c>
      <c r="E51" s="27" t="s">
        <v>141</v>
      </c>
      <c r="F51" s="28">
        <v>43753</v>
      </c>
      <c r="G51" s="28">
        <v>44900</v>
      </c>
      <c r="H51" s="31">
        <f>VLOOKUP(D51,PARAMETROS!$A$6:$C$8,3,FALSE())</f>
        <v>1095</v>
      </c>
      <c r="I51" s="44">
        <f t="shared" si="4"/>
        <v>45995</v>
      </c>
      <c r="J51" s="31">
        <f t="shared" ca="1" si="5"/>
        <v>-104</v>
      </c>
      <c r="K51" s="45" t="str">
        <f t="shared" ca="1" si="6"/>
        <v>VENCIDO</v>
      </c>
      <c r="L51" s="46" t="s">
        <v>67</v>
      </c>
      <c r="M51" s="36" t="s">
        <v>109</v>
      </c>
      <c r="N51" s="27" t="s">
        <v>75</v>
      </c>
      <c r="O51" s="28">
        <v>45453</v>
      </c>
      <c r="P51" s="27" t="s">
        <v>89</v>
      </c>
      <c r="Q51" s="37" t="s">
        <v>34</v>
      </c>
      <c r="R51" s="36" t="s">
        <v>105</v>
      </c>
      <c r="S51" s="45" t="str">
        <f t="shared" ca="1" si="7"/>
        <v>ALTA</v>
      </c>
      <c r="T51" s="36" t="s">
        <v>71</v>
      </c>
      <c r="U51" s="47" t="s">
        <v>163</v>
      </c>
    </row>
  </sheetData>
  <conditionalFormatting sqref="K2:K51">
    <cfRule type="expression" dxfId="60" priority="2">
      <formula>K2="VENCIDO"</formula>
    </cfRule>
    <cfRule type="expression" dxfId="59" priority="3">
      <formula>K2="CRÍTICO"</formula>
    </cfRule>
    <cfRule type="expression" dxfId="58" priority="4">
      <formula>K2="PRÓXIMO"</formula>
    </cfRule>
    <cfRule type="expression" dxfId="57" priority="5">
      <formula>K2="AL DÍA"</formula>
    </cfRule>
  </conditionalFormatting>
  <conditionalFormatting sqref="L2:L51">
    <cfRule type="expression" dxfId="56" priority="6">
      <formula>K2="VENCIDO"</formula>
    </cfRule>
    <cfRule type="expression" dxfId="55" priority="7">
      <formula>K2="CRÍTICO"</formula>
    </cfRule>
    <cfRule type="expression" dxfId="54" priority="8">
      <formula>K2="PRÓXIMO"</formula>
    </cfRule>
    <cfRule type="expression" dxfId="53" priority="9">
      <formula>K2="AL DÍA"</formula>
    </cfRule>
  </conditionalFormatting>
  <conditionalFormatting sqref="S2:S51">
    <cfRule type="expression" dxfId="52" priority="10">
      <formula>S2="URGENTE"</formula>
    </cfRule>
    <cfRule type="expression" dxfId="51" priority="11">
      <formula>S2="ALTA"</formula>
    </cfRule>
    <cfRule type="expression" dxfId="50" priority="12">
      <formula>S2="NORMAL"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zoomScale="90" zoomScaleNormal="90" workbookViewId="0">
      <pane ySplit="1" topLeftCell="A3" activePane="bottomLeft" state="frozen"/>
      <selection pane="bottomLeft" activeCell="E2" sqref="E2"/>
    </sheetView>
  </sheetViews>
  <sheetFormatPr defaultColWidth="8.7109375" defaultRowHeight="15" x14ac:dyDescent="0.25"/>
  <cols>
    <col min="1" max="1" width="36" customWidth="1"/>
    <col min="2" max="2" width="21.7109375" customWidth="1"/>
    <col min="3" max="3" width="16" customWidth="1"/>
    <col min="4" max="4" width="22.5703125" customWidth="1"/>
    <col min="5" max="5" width="14" customWidth="1"/>
    <col min="6" max="6" width="14.28515625" customWidth="1"/>
    <col min="7" max="7" width="48" customWidth="1"/>
  </cols>
  <sheetData>
    <row r="1" spans="1:7" ht="34.5" customHeight="1" x14ac:dyDescent="0.25">
      <c r="A1" s="19" t="s">
        <v>29</v>
      </c>
      <c r="B1" s="20" t="s">
        <v>196</v>
      </c>
      <c r="C1" s="20" t="s">
        <v>197</v>
      </c>
      <c r="D1" s="20" t="s">
        <v>198</v>
      </c>
      <c r="E1" s="20" t="s">
        <v>14</v>
      </c>
      <c r="F1" s="20" t="s">
        <v>199</v>
      </c>
      <c r="G1" s="21" t="s">
        <v>62</v>
      </c>
    </row>
    <row r="2" spans="1:7" ht="27.75" customHeight="1" x14ac:dyDescent="0.25">
      <c r="A2" s="24" t="s">
        <v>33</v>
      </c>
      <c r="B2" s="7" t="s">
        <v>200</v>
      </c>
      <c r="C2" s="9">
        <v>46096</v>
      </c>
      <c r="D2" s="9">
        <v>46091</v>
      </c>
      <c r="E2" s="4" t="s">
        <v>201</v>
      </c>
      <c r="F2" s="15">
        <v>5</v>
      </c>
      <c r="G2" s="25" t="s">
        <v>202</v>
      </c>
    </row>
    <row r="3" spans="1:7" ht="27.75" customHeight="1" x14ac:dyDescent="0.25">
      <c r="A3" s="24" t="s">
        <v>36</v>
      </c>
      <c r="B3" s="7" t="s">
        <v>203</v>
      </c>
      <c r="C3" s="9">
        <v>46068</v>
      </c>
      <c r="D3" s="9">
        <v>46065</v>
      </c>
      <c r="E3" s="4" t="s">
        <v>201</v>
      </c>
      <c r="F3" s="15">
        <v>3</v>
      </c>
      <c r="G3" s="25" t="s">
        <v>204</v>
      </c>
    </row>
    <row r="4" spans="1:7" ht="27.75" customHeight="1" x14ac:dyDescent="0.25">
      <c r="A4" s="24" t="s">
        <v>36</v>
      </c>
      <c r="B4" s="7" t="s">
        <v>205</v>
      </c>
      <c r="C4" s="9">
        <v>46096</v>
      </c>
      <c r="D4" s="9">
        <v>46094</v>
      </c>
      <c r="E4" s="4" t="s">
        <v>201</v>
      </c>
      <c r="F4" s="15">
        <v>2</v>
      </c>
      <c r="G4" s="25" t="s">
        <v>204</v>
      </c>
    </row>
    <row r="5" spans="1:7" ht="27.75" customHeight="1" x14ac:dyDescent="0.25">
      <c r="A5" s="26" t="s">
        <v>36</v>
      </c>
      <c r="B5" s="27" t="s">
        <v>206</v>
      </c>
      <c r="C5" s="28">
        <v>46127</v>
      </c>
      <c r="D5" s="29" t="s">
        <v>41</v>
      </c>
      <c r="E5" s="30" t="s">
        <v>207</v>
      </c>
      <c r="F5" s="31">
        <f ca="1">C5-TODAY()</f>
        <v>28</v>
      </c>
      <c r="G5" s="32" t="s">
        <v>208</v>
      </c>
    </row>
    <row r="7" spans="1:7" ht="6" customHeight="1" x14ac:dyDescent="0.25"/>
    <row r="8" spans="1:7" ht="60" customHeight="1" x14ac:dyDescent="0.25">
      <c r="A8" s="18" t="s">
        <v>209</v>
      </c>
      <c r="B8" s="18"/>
      <c r="C8" s="18"/>
      <c r="D8" s="18"/>
      <c r="E8" s="18"/>
      <c r="F8" s="18"/>
      <c r="G8" s="18"/>
    </row>
  </sheetData>
  <mergeCells count="1">
    <mergeCell ref="A8:G8"/>
  </mergeCells>
  <conditionalFormatting sqref="E2:E10">
    <cfRule type="expression" dxfId="48" priority="2">
      <formula>E2="Presentado"</formula>
    </cfRule>
    <cfRule type="expression" dxfId="47" priority="3">
      <formula>E2="Pendiente"</formula>
    </cfRule>
    <cfRule type="expression" dxfId="46" priority="4">
      <formula>E2="Vencido"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Normal="100" workbookViewId="0">
      <pane ySplit="1" topLeftCell="A8" activePane="bottomLeft" state="frozen"/>
      <selection pane="bottomLeft" activeCell="E11" sqref="E11"/>
    </sheetView>
  </sheetViews>
  <sheetFormatPr defaultColWidth="8.7109375" defaultRowHeight="15" x14ac:dyDescent="0.25"/>
  <cols>
    <col min="1" max="1" width="14" customWidth="1"/>
    <col min="2" max="2" width="13" customWidth="1"/>
    <col min="3" max="3" width="48" customWidth="1"/>
    <col min="4" max="4" width="15.85546875" customWidth="1"/>
    <col min="5" max="5" width="12" customWidth="1"/>
    <col min="6" max="6" width="15.140625" customWidth="1"/>
  </cols>
  <sheetData>
    <row r="1" spans="1:6" ht="34.5" customHeight="1" x14ac:dyDescent="0.25">
      <c r="A1" s="19" t="s">
        <v>164</v>
      </c>
      <c r="B1" s="20" t="s">
        <v>42</v>
      </c>
      <c r="C1" s="20" t="s">
        <v>165</v>
      </c>
      <c r="D1" s="20" t="s">
        <v>166</v>
      </c>
      <c r="E1" s="20" t="s">
        <v>14</v>
      </c>
      <c r="F1" s="21" t="s">
        <v>167</v>
      </c>
    </row>
    <row r="2" spans="1:6" ht="21.75" customHeight="1" x14ac:dyDescent="0.25">
      <c r="A2" s="33" t="s">
        <v>168</v>
      </c>
      <c r="B2" s="7" t="s">
        <v>63</v>
      </c>
      <c r="C2" s="8" t="s">
        <v>70</v>
      </c>
      <c r="D2" s="9">
        <v>46006</v>
      </c>
      <c r="E2" s="14" t="s">
        <v>169</v>
      </c>
      <c r="F2" s="34">
        <f t="shared" ref="F2:F16" ca="1" si="0">TODAY()-D2</f>
        <v>93</v>
      </c>
    </row>
    <row r="3" spans="1:6" ht="21.75" customHeight="1" x14ac:dyDescent="0.25">
      <c r="A3" s="33" t="s">
        <v>170</v>
      </c>
      <c r="B3" s="7" t="s">
        <v>77</v>
      </c>
      <c r="C3" s="8" t="s">
        <v>81</v>
      </c>
      <c r="D3" s="9">
        <v>46042</v>
      </c>
      <c r="E3" s="14" t="s">
        <v>169</v>
      </c>
      <c r="F3" s="34">
        <f t="shared" ca="1" si="0"/>
        <v>57</v>
      </c>
    </row>
    <row r="4" spans="1:6" ht="21.75" customHeight="1" x14ac:dyDescent="0.25">
      <c r="A4" s="33" t="s">
        <v>171</v>
      </c>
      <c r="B4" s="7" t="s">
        <v>86</v>
      </c>
      <c r="C4" s="8" t="s">
        <v>172</v>
      </c>
      <c r="D4" s="9">
        <v>46054</v>
      </c>
      <c r="E4" s="14" t="s">
        <v>169</v>
      </c>
      <c r="F4" s="34">
        <f t="shared" ca="1" si="0"/>
        <v>45</v>
      </c>
    </row>
    <row r="5" spans="1:6" ht="21.75" customHeight="1" x14ac:dyDescent="0.25">
      <c r="A5" s="33" t="s">
        <v>173</v>
      </c>
      <c r="B5" s="7" t="s">
        <v>93</v>
      </c>
      <c r="C5" s="8" t="s">
        <v>174</v>
      </c>
      <c r="D5" s="9">
        <v>46073</v>
      </c>
      <c r="E5" s="14" t="s">
        <v>169</v>
      </c>
      <c r="F5" s="34">
        <f t="shared" ca="1" si="0"/>
        <v>26</v>
      </c>
    </row>
    <row r="6" spans="1:6" ht="21.75" customHeight="1" x14ac:dyDescent="0.25">
      <c r="A6" s="33" t="s">
        <v>175</v>
      </c>
      <c r="B6" s="7" t="s">
        <v>97</v>
      </c>
      <c r="C6" s="8" t="s">
        <v>99</v>
      </c>
      <c r="D6" s="9">
        <v>45971</v>
      </c>
      <c r="E6" s="14" t="s">
        <v>169</v>
      </c>
      <c r="F6" s="34">
        <f t="shared" ca="1" si="0"/>
        <v>128</v>
      </c>
    </row>
    <row r="7" spans="1:6" ht="21.75" customHeight="1" x14ac:dyDescent="0.25">
      <c r="A7" s="33" t="s">
        <v>176</v>
      </c>
      <c r="B7" s="7" t="s">
        <v>101</v>
      </c>
      <c r="C7" s="8" t="s">
        <v>177</v>
      </c>
      <c r="D7" s="9">
        <v>46027</v>
      </c>
      <c r="E7" s="14" t="s">
        <v>169</v>
      </c>
      <c r="F7" s="34">
        <f t="shared" ca="1" si="0"/>
        <v>72</v>
      </c>
    </row>
    <row r="8" spans="1:6" ht="21.75" customHeight="1" x14ac:dyDescent="0.25">
      <c r="A8" s="33" t="s">
        <v>178</v>
      </c>
      <c r="B8" s="7" t="s">
        <v>104</v>
      </c>
      <c r="C8" s="8" t="s">
        <v>179</v>
      </c>
      <c r="D8" s="9">
        <v>45748</v>
      </c>
      <c r="E8" s="14" t="s">
        <v>169</v>
      </c>
      <c r="F8" s="34">
        <f t="shared" ca="1" si="0"/>
        <v>351</v>
      </c>
    </row>
    <row r="9" spans="1:6" ht="21.75" customHeight="1" x14ac:dyDescent="0.25">
      <c r="A9" s="33" t="s">
        <v>180</v>
      </c>
      <c r="B9" s="7" t="s">
        <v>104</v>
      </c>
      <c r="C9" s="8" t="s">
        <v>181</v>
      </c>
      <c r="D9" s="9">
        <v>46037</v>
      </c>
      <c r="E9" s="14" t="s">
        <v>169</v>
      </c>
      <c r="F9" s="34">
        <f t="shared" ca="1" si="0"/>
        <v>62</v>
      </c>
    </row>
    <row r="10" spans="1:6" ht="21.75" customHeight="1" x14ac:dyDescent="0.25">
      <c r="A10" s="33" t="s">
        <v>182</v>
      </c>
      <c r="B10" s="7" t="s">
        <v>107</v>
      </c>
      <c r="C10" s="8" t="s">
        <v>183</v>
      </c>
      <c r="D10" s="9">
        <v>45689</v>
      </c>
      <c r="E10" s="14" t="s">
        <v>169</v>
      </c>
      <c r="F10" s="34">
        <f t="shared" ca="1" si="0"/>
        <v>410</v>
      </c>
    </row>
    <row r="11" spans="1:6" ht="21.75" customHeight="1" x14ac:dyDescent="0.25">
      <c r="A11" s="33" t="s">
        <v>184</v>
      </c>
      <c r="B11" s="7" t="s">
        <v>128</v>
      </c>
      <c r="C11" s="8" t="s">
        <v>185</v>
      </c>
      <c r="D11" s="9">
        <v>46063</v>
      </c>
      <c r="E11" s="14" t="s">
        <v>169</v>
      </c>
      <c r="F11" s="34">
        <f t="shared" ca="1" si="0"/>
        <v>36</v>
      </c>
    </row>
    <row r="12" spans="1:6" ht="21.75" customHeight="1" x14ac:dyDescent="0.25">
      <c r="A12" s="33" t="s">
        <v>186</v>
      </c>
      <c r="B12" s="7" t="s">
        <v>136</v>
      </c>
      <c r="C12" s="8" t="s">
        <v>187</v>
      </c>
      <c r="D12" s="9">
        <v>46042</v>
      </c>
      <c r="E12" s="14" t="s">
        <v>169</v>
      </c>
      <c r="F12" s="34">
        <f t="shared" ca="1" si="0"/>
        <v>57</v>
      </c>
    </row>
    <row r="13" spans="1:6" ht="21.75" customHeight="1" x14ac:dyDescent="0.25">
      <c r="A13" s="33" t="s">
        <v>188</v>
      </c>
      <c r="B13" s="7" t="s">
        <v>138</v>
      </c>
      <c r="C13" s="8" t="s">
        <v>189</v>
      </c>
      <c r="D13" s="9">
        <v>45505</v>
      </c>
      <c r="E13" s="14" t="s">
        <v>169</v>
      </c>
      <c r="F13" s="34">
        <f t="shared" ca="1" si="0"/>
        <v>594</v>
      </c>
    </row>
    <row r="14" spans="1:6" ht="21.75" customHeight="1" x14ac:dyDescent="0.25">
      <c r="A14" s="33" t="s">
        <v>190</v>
      </c>
      <c r="B14" s="7" t="s">
        <v>160</v>
      </c>
      <c r="C14" s="8" t="s">
        <v>191</v>
      </c>
      <c r="D14" s="9">
        <v>46082</v>
      </c>
      <c r="E14" s="14" t="s">
        <v>169</v>
      </c>
      <c r="F14" s="34">
        <f t="shared" ca="1" si="0"/>
        <v>17</v>
      </c>
    </row>
    <row r="15" spans="1:6" ht="21.75" customHeight="1" x14ac:dyDescent="0.25">
      <c r="A15" s="33" t="s">
        <v>192</v>
      </c>
      <c r="B15" s="7" t="s">
        <v>162</v>
      </c>
      <c r="C15" s="8" t="s">
        <v>193</v>
      </c>
      <c r="D15" s="9">
        <v>46011</v>
      </c>
      <c r="E15" s="14" t="s">
        <v>169</v>
      </c>
      <c r="F15" s="34">
        <f t="shared" ca="1" si="0"/>
        <v>88</v>
      </c>
    </row>
    <row r="16" spans="1:6" ht="21.75" customHeight="1" x14ac:dyDescent="0.25">
      <c r="A16" s="35" t="s">
        <v>194</v>
      </c>
      <c r="B16" s="27" t="s">
        <v>162</v>
      </c>
      <c r="C16" s="36" t="s">
        <v>195</v>
      </c>
      <c r="D16" s="28">
        <v>46032</v>
      </c>
      <c r="E16" s="37" t="s">
        <v>169</v>
      </c>
      <c r="F16" s="38">
        <f t="shared" ca="1" si="0"/>
        <v>67</v>
      </c>
    </row>
  </sheetData>
  <conditionalFormatting sqref="E2:E20">
    <cfRule type="expression" dxfId="49" priority="2">
      <formula>E2="Abierto"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CLIENTES_KYC</vt:lpstr>
      <vt:lpstr>REPORTES_SISTEMATICOS</vt:lpstr>
      <vt:lpstr>ALERTAS_ACTIVAS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2026-03-16T20:40:57Z</dcterms:created>
  <dcterms:modified xsi:type="dcterms:W3CDTF">2026-03-18T14:44:02Z</dcterms:modified>
  <dc:language>en-US</dc:language>
</cp:coreProperties>
</file>